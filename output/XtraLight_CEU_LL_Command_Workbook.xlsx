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argets" sheetId="2" state="visible" r:id="rId4"/>
    <sheet name="READ ME" sheetId="3" state="visible" r:id="rId5"/>
  </sheets>
  <definedNames>
    <definedName function="false" hidden="true" localSheetId="1" name="_xlnm._FilterDatabase" vbProcedure="false">Targets!$A$1:$U$127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<sst xmlns="http://schemas.openxmlformats.org/spreadsheetml/2006/main" count="1508" uniqueCount="789">
  <si>
    <t xml:space="preserve">CEU LUNCH &amp; LEARN COMMAND DASHBOARD</t>
  </si>
  <si>
    <t xml:space="preserve">BY STATE (HQ)</t>
  </si>
  <si>
    <t xml:space="preserve">XtraLight AIA CES - Government Sector Targets  |  All numbers update live from the Targets tab</t>
  </si>
  <si>
    <t xml:space="preserve">State</t>
  </si>
  <si>
    <t xml:space="preserve">Firms</t>
  </si>
  <si>
    <t xml:space="preserve">Tier 1</t>
  </si>
  <si>
    <t xml:space="preserve">Booked</t>
  </si>
  <si>
    <t xml:space="preserve">PA</t>
  </si>
  <si>
    <t xml:space="preserve">Total Targets</t>
  </si>
  <si>
    <t xml:space="preserve">Not Started</t>
  </si>
  <si>
    <t xml:space="preserve">Active Outreach</t>
  </si>
  <si>
    <t xml:space="preserve">Scheduled</t>
  </si>
  <si>
    <t xml:space="preserve">Presented</t>
  </si>
  <si>
    <t xml:space="preserve">Booked Rate</t>
  </si>
  <si>
    <t xml:space="preserve">TX</t>
  </si>
  <si>
    <t xml:space="preserve">NE</t>
  </si>
  <si>
    <t xml:space="preserve">NY</t>
  </si>
  <si>
    <t xml:space="preserve">Booking goal (edit):</t>
  </si>
  <si>
    <t xml:space="preserve">Progress to goal:</t>
  </si>
  <si>
    <t xml:space="preserve">(goal = Scheduled + Presented)</t>
  </si>
  <si>
    <t xml:space="preserve">CA</t>
  </si>
  <si>
    <t xml:space="preserve">FL</t>
  </si>
  <si>
    <t xml:space="preserve">IL</t>
  </si>
  <si>
    <t xml:space="preserve">PIPELINE BY STATUS</t>
  </si>
  <si>
    <t xml:space="preserve">MN</t>
  </si>
  <si>
    <t xml:space="preserve">Status</t>
  </si>
  <si>
    <t xml:space="preserve">Count</t>
  </si>
  <si>
    <t xml:space="preserve">% of Total</t>
  </si>
  <si>
    <t xml:space="preserve">OH</t>
  </si>
  <si>
    <t xml:space="preserve">VA</t>
  </si>
  <si>
    <t xml:space="preserve">Outreach Sent</t>
  </si>
  <si>
    <t xml:space="preserve">MD</t>
  </si>
  <si>
    <t xml:space="preserve">In Scheduling</t>
  </si>
  <si>
    <t xml:space="preserve">TN</t>
  </si>
  <si>
    <t xml:space="preserve">CO</t>
  </si>
  <si>
    <t xml:space="preserve">GA</t>
  </si>
  <si>
    <t xml:space="preserve">Follow-Up</t>
  </si>
  <si>
    <t xml:space="preserve">IN</t>
  </si>
  <si>
    <t xml:space="preserve">Declined</t>
  </si>
  <si>
    <t xml:space="preserve">KS</t>
  </si>
  <si>
    <t xml:space="preserve">Dormant</t>
  </si>
  <si>
    <t xml:space="preserve">KY</t>
  </si>
  <si>
    <t xml:space="preserve">MO</t>
  </si>
  <si>
    <t xml:space="preserve">OK</t>
  </si>
  <si>
    <t xml:space="preserve">BY PRIORITY TIER</t>
  </si>
  <si>
    <t xml:space="preserve">WA</t>
  </si>
  <si>
    <t xml:space="preserve">Tier</t>
  </si>
  <si>
    <t xml:space="preserve">AR</t>
  </si>
  <si>
    <t xml:space="preserve">AZ</t>
  </si>
  <si>
    <t xml:space="preserve">Tier 2</t>
  </si>
  <si>
    <t xml:space="preserve">MA</t>
  </si>
  <si>
    <t xml:space="preserve">Tier 3</t>
  </si>
  <si>
    <t xml:space="preserve">OR</t>
  </si>
  <si>
    <t xml:space="preserve">TBD (verify)</t>
  </si>
  <si>
    <t xml:space="preserve">WI</t>
  </si>
  <si>
    <t xml:space="preserve">BY CEU COURSE FIT</t>
  </si>
  <si>
    <t xml:space="preserve">AL</t>
  </si>
  <si>
    <t xml:space="preserve">Fit</t>
  </si>
  <si>
    <t xml:space="preserve">DC</t>
  </si>
  <si>
    <t xml:space="preserve">FED (Federal Secure)</t>
  </si>
  <si>
    <t xml:space="preserve">IA</t>
  </si>
  <si>
    <t xml:space="preserve">COR (Correctional)</t>
  </si>
  <si>
    <t xml:space="preserve">LA</t>
  </si>
  <si>
    <t xml:space="preserve">Both courses</t>
  </si>
  <si>
    <t xml:space="preserve">MI</t>
  </si>
  <si>
    <t xml:space="preserve">MT</t>
  </si>
  <si>
    <t xml:space="preserve">NM</t>
  </si>
  <si>
    <t xml:space="preserve">National (Canada HQ)</t>
  </si>
  <si>
    <t xml:space="preserve">SC</t>
  </si>
  <si>
    <t xml:space="preserve">WV</t>
  </si>
  <si>
    <t xml:space="preserve">State (HQ)</t>
  </si>
  <si>
    <t xml:space="preserve">Firm</t>
  </si>
  <si>
    <t xml:space="preserve">HQ City</t>
  </si>
  <si>
    <t xml:space="preserve">Firm Type</t>
  </si>
  <si>
    <t xml:space="preserve">Website</t>
  </si>
  <si>
    <t xml:space="preserve">Gov Sector Strengths</t>
  </si>
  <si>
    <t xml:space="preserve">2025 Standing / Source</t>
  </si>
  <si>
    <t xml:space="preserve">CEU Fit</t>
  </si>
  <si>
    <t xml:space="preserve">Priority</t>
  </si>
  <si>
    <t xml:space="preserve">Angle / Entry Notes</t>
  </si>
  <si>
    <t xml:space="preserve">Assigned Rep Agency</t>
  </si>
  <si>
    <t xml:space="preserve">Course to Book</t>
  </si>
  <si>
    <t xml:space="preserve">Target Office / City</t>
  </si>
  <si>
    <t xml:space="preserve">Contact Name</t>
  </si>
  <si>
    <t xml:space="preserve">Contact Title</t>
  </si>
  <si>
    <t xml:space="preserve">Contact Email / Phone</t>
  </si>
  <si>
    <t xml:space="preserve">Outreach Date</t>
  </si>
  <si>
    <t xml:space="preserve">L&amp;L Date</t>
  </si>
  <si>
    <t xml:space="preserve">Next Action</t>
  </si>
  <si>
    <t xml:space="preserve">Notes</t>
  </si>
  <si>
    <t xml:space="preserve">Goodwyn Mills Cawood (GMC)</t>
  </si>
  <si>
    <t xml:space="preserve">Birmingham</t>
  </si>
  <si>
    <t xml:space="preserve">A/E (Integrated)</t>
  </si>
  <si>
    <t xml:space="preserve">gmcnetwork.com</t>
  </si>
  <si>
    <t xml:space="preserve">Justice / municipal (Southeast)</t>
  </si>
  <si>
    <t xml:space="preserve">#6 Justice Facility Architecture (2024)</t>
  </si>
  <si>
    <t xml:space="preserve">COR</t>
  </si>
  <si>
    <t xml:space="preserve">Southeast county/state corrections volume; in-house engineering.</t>
  </si>
  <si>
    <t xml:space="preserve">Cromwell Architects Engineers</t>
  </si>
  <si>
    <t xml:space="preserve">Little Rock</t>
  </si>
  <si>
    <t xml:space="preserve">cromwell.com</t>
  </si>
  <si>
    <t xml:space="preserve">Federal</t>
  </si>
  <si>
    <t xml:space="preserve">Established federal A/E</t>
  </si>
  <si>
    <t xml:space="preserve">FED</t>
  </si>
  <si>
    <t xml:space="preserve">Long-running Little Rock federal practice.</t>
  </si>
  <si>
    <t xml:space="preserve">Garver</t>
  </si>
  <si>
    <t xml:space="preserve">North Little Rock</t>
  </si>
  <si>
    <t xml:space="preserve">Engineering (multi)</t>
  </si>
  <si>
    <t xml:space="preserve">garverusa.com</t>
  </si>
  <si>
    <t xml:space="preserve">Aviation / federal</t>
  </si>
  <si>
    <t xml:space="preserve">Regional engineering leader</t>
  </si>
  <si>
    <t xml:space="preserve">Aviation/civil-led; buildings MEP is smaller.</t>
  </si>
  <si>
    <t xml:space="preserve">Arrington Watkins Architects</t>
  </si>
  <si>
    <t xml:space="preserve">Phoenix</t>
  </si>
  <si>
    <t xml:space="preserve">Architecture</t>
  </si>
  <si>
    <t xml:space="preserve">(verify domain)</t>
  </si>
  <si>
    <t xml:space="preserve">Corrections / justice specialist</t>
  </si>
  <si>
    <t xml:space="preserve">Recognized corrections niche firm</t>
  </si>
  <si>
    <t xml:space="preserve">Corrections-pure practice; small firm = fast L&amp;L booking.</t>
  </si>
  <si>
    <t xml:space="preserve">Orcutt | Winslow</t>
  </si>
  <si>
    <t xml:space="preserve">orcuttwinslow.com</t>
  </si>
  <si>
    <t xml:space="preserve">VA / healthcare / senior living</t>
  </si>
  <si>
    <t xml:space="preserve">Top 6 VA Facility Architecture (2024)</t>
  </si>
  <si>
    <t xml:space="preserve">VA standing in the Southwest.</t>
  </si>
  <si>
    <t xml:space="preserve">Gensler</t>
  </si>
  <si>
    <t xml:space="preserve">San Francisco</t>
  </si>
  <si>
    <t xml:space="preserve">gensler.com</t>
  </si>
  <si>
    <t xml:space="preserve">Federal (GSA, courthouses)</t>
  </si>
  <si>
    <t xml:space="preserve">#2 Federal Gov Building Architecture (2025)</t>
  </si>
  <si>
    <t xml:space="preserve">National giant; target specific offices via local reps only.</t>
  </si>
  <si>
    <t xml:space="preserve">Introba</t>
  </si>
  <si>
    <t xml:space="preserve">Oakland (verify)</t>
  </si>
  <si>
    <t xml:space="preserve">MEP Engineering</t>
  </si>
  <si>
    <t xml:space="preserve">introba.com</t>
  </si>
  <si>
    <t xml:space="preserve">Justice / institutional</t>
  </si>
  <si>
    <t xml:space="preserve">Justice Facility Engineering ranked (2024)</t>
  </si>
  <si>
    <t xml:space="preserve">Formed from Integral Group + Ross &amp; Baruzzini; justice practice via R&amp;B legacy.</t>
  </si>
  <si>
    <t xml:space="preserve">Mazzetti</t>
  </si>
  <si>
    <t xml:space="preserve">mazzetti.com</t>
  </si>
  <si>
    <t xml:space="preserve">VA / healthcare</t>
  </si>
  <si>
    <t xml:space="preserve">National healthcare/VA MEP practice</t>
  </si>
  <si>
    <t xml:space="preserve">Healthcare MEP specialist with VA flow.</t>
  </si>
  <si>
    <t xml:space="preserve">P2S</t>
  </si>
  <si>
    <t xml:space="preserve">Long Beach</t>
  </si>
  <si>
    <t xml:space="preserve">p2sinc.com</t>
  </si>
  <si>
    <t xml:space="preserve">VA / federal healthcare</t>
  </si>
  <si>
    <t xml:space="preserve">Top 10 VA Facility Engineering (2025)</t>
  </si>
  <si>
    <t xml:space="preserve">VA-heavy MEP; West Coast VA network fit.</t>
  </si>
  <si>
    <t xml:space="preserve">Salas O'Brien</t>
  </si>
  <si>
    <t xml:space="preserve">Irvine</t>
  </si>
  <si>
    <t xml:space="preserve">MEP Engineering (rollup)</t>
  </si>
  <si>
    <t xml:space="preserve">salasobrien.com</t>
  </si>
  <si>
    <t xml:space="preserve">Military / federal / VA</t>
  </si>
  <si>
    <t xml:space="preserve">Top 10 Military Facility Engineering (2025)</t>
  </si>
  <si>
    <t xml:space="preserve">FED+COR</t>
  </si>
  <si>
    <t xml:space="preserve">Fast-growing MEP consolidator; many local offices = many L&amp;L slots.</t>
  </si>
  <si>
    <t xml:space="preserve">Tetra Tech</t>
  </si>
  <si>
    <t xml:space="preserve">Pasadena</t>
  </si>
  <si>
    <t xml:space="preserve">tetratech.com</t>
  </si>
  <si>
    <t xml:space="preserve">Federal / justice</t>
  </si>
  <si>
    <t xml:space="preserve">Justice Facility Engineering ranked (2023-24)</t>
  </si>
  <si>
    <t xml:space="preserve">Huge federal services firm; buildings MEP is a subset.</t>
  </si>
  <si>
    <t xml:space="preserve">Arcadis North America</t>
  </si>
  <si>
    <t xml:space="preserve">Highlands Ranch</t>
  </si>
  <si>
    <t xml:space="preserve">arcadis.com</t>
  </si>
  <si>
    <t xml:space="preserve">Federal (GSA/DoD)</t>
  </si>
  <si>
    <t xml:space="preserve">#3 Federal Gov Building Architecture (2025)</t>
  </si>
  <si>
    <t xml:space="preserve">Global giant; pursue office-by-office.</t>
  </si>
  <si>
    <t xml:space="preserve">Fentress Architects</t>
  </si>
  <si>
    <t xml:space="preserve">Denver</t>
  </si>
  <si>
    <t xml:space="preserve">fentressarchitects.com</t>
  </si>
  <si>
    <t xml:space="preserve">Federal courthouses / civic / airports</t>
  </si>
  <si>
    <t xml:space="preserve">National federal courthouse portfolio</t>
  </si>
  <si>
    <t xml:space="preserve">GSA courthouse design pedigree.</t>
  </si>
  <si>
    <t xml:space="preserve">Merrick &amp; Company</t>
  </si>
  <si>
    <t xml:space="preserve">Greenwood Village</t>
  </si>
  <si>
    <t xml:space="preserve">merrick.com</t>
  </si>
  <si>
    <t xml:space="preserve">Federal secure / DoE / national labs</t>
  </si>
  <si>
    <t xml:space="preserve">Established federal secure-facility A/E</t>
  </si>
  <si>
    <t xml:space="preserve">Secure/classified facility design - direct Federal Secure Facilities HSW fit.</t>
  </si>
  <si>
    <t xml:space="preserve">Setty</t>
  </si>
  <si>
    <t xml:space="preserve">Washington</t>
  </si>
  <si>
    <t xml:space="preserve">setty.com</t>
  </si>
  <si>
    <t xml:space="preserve">Federal / GSA / DoD</t>
  </si>
  <si>
    <t xml:space="preserve">Federal MEP specialist (NCR)</t>
  </si>
  <si>
    <t xml:space="preserve">National Capital Region MEP with deep federal spec influence.</t>
  </si>
  <si>
    <t xml:space="preserve">BRPH</t>
  </si>
  <si>
    <t xml:space="preserve">Melbourne</t>
  </si>
  <si>
    <t xml:space="preserve">brph.com</t>
  </si>
  <si>
    <t xml:space="preserve">DoD / space / secure industrial</t>
  </si>
  <si>
    <t xml:space="preserve">Federal secure + launch/industrial specialist</t>
  </si>
  <si>
    <t xml:space="preserve">Secure mission facilities; Federal course fit.</t>
  </si>
  <si>
    <t xml:space="preserve">CGL Companies</t>
  </si>
  <si>
    <t xml:space="preserve">Miami</t>
  </si>
  <si>
    <t xml:space="preserve">Justice Planning / A-E Services</t>
  </si>
  <si>
    <t xml:space="preserve">cglcompanies.com</t>
  </si>
  <si>
    <t xml:space="preserve">Corrections planning &amp; consulting</t>
  </si>
  <si>
    <t xml:space="preserve">National corrections planning practice</t>
  </si>
  <si>
    <t xml:space="preserve">Shapes correctional programs upstream of design.</t>
  </si>
  <si>
    <t xml:space="preserve">NV5</t>
  </si>
  <si>
    <t xml:space="preserve">Hollywood</t>
  </si>
  <si>
    <t xml:space="preserve">nv5.com</t>
  </si>
  <si>
    <t xml:space="preserve">Federal / commissioning</t>
  </si>
  <si>
    <t xml:space="preserve">National engineering + Cx platform</t>
  </si>
  <si>
    <t xml:space="preserve">Federal MEP and commissioning practices (incl. legacy Sebesta).</t>
  </si>
  <si>
    <t xml:space="preserve">RLF Architecture + Engineering + Interiors</t>
  </si>
  <si>
    <t xml:space="preserve">Orlando</t>
  </si>
  <si>
    <t xml:space="preserve">DoD healthcare / VA / military</t>
  </si>
  <si>
    <t xml:space="preserve">#3 Military Facility Architecture; Top 10 VA Architecture (2025)</t>
  </si>
  <si>
    <t xml:space="preserve">DHA/VA healthcare design leader; in-house MEP.</t>
  </si>
  <si>
    <t xml:space="preserve">RS&amp;H</t>
  </si>
  <si>
    <t xml:space="preserve">Jacksonville</t>
  </si>
  <si>
    <t xml:space="preserve">rsandh.com</t>
  </si>
  <si>
    <t xml:space="preserve">Military / aerospace / federal</t>
  </si>
  <si>
    <t xml:space="preserve">#4 Military Facility Architecture (2025)</t>
  </si>
  <si>
    <t xml:space="preserve">NAVFAC/AF-heavy; near major Navy concentration.</t>
  </si>
  <si>
    <t xml:space="preserve">TLC Engineering Solutions</t>
  </si>
  <si>
    <t xml:space="preserve">tlc-engineers.com</t>
  </si>
  <si>
    <t xml:space="preserve">Healthcare / VA / federal</t>
  </si>
  <si>
    <t xml:space="preserve">National healthcare MEP practice</t>
  </si>
  <si>
    <t xml:space="preserve">Southeast healthcare/VA MEP heavyweight.</t>
  </si>
  <si>
    <t xml:space="preserve">Newcomb &amp; Boyd</t>
  </si>
  <si>
    <t xml:space="preserve">Atlanta</t>
  </si>
  <si>
    <t xml:space="preserve">newcomb-boyd.com</t>
  </si>
  <si>
    <t xml:space="preserve">Federal / DoD</t>
  </si>
  <si>
    <t xml:space="preserve">Established federal MEP consultant</t>
  </si>
  <si>
    <t xml:space="preserve">Blue-chip Southeast MEP with long federal record.</t>
  </si>
  <si>
    <t xml:space="preserve">Pond &amp; Company</t>
  </si>
  <si>
    <t xml:space="preserve">Peachtree Corners (Atlanta)</t>
  </si>
  <si>
    <t xml:space="preserve">pondco.com</t>
  </si>
  <si>
    <t xml:space="preserve">Federal / DoD (USACE, NAVFAC, AF)</t>
  </si>
  <si>
    <t xml:space="preserve">Established federal A/E, national IDIQ holder</t>
  </si>
  <si>
    <t xml:space="preserve">Full-service federal A/E with in-house electrical.</t>
  </si>
  <si>
    <t xml:space="preserve">Stevens &amp; Wilkinson</t>
  </si>
  <si>
    <t xml:space="preserve">stevenswilkinson.com</t>
  </si>
  <si>
    <t xml:space="preserve">Federal / justice / state</t>
  </si>
  <si>
    <t xml:space="preserve">Regional A/E with public-sector base</t>
  </si>
  <si>
    <t xml:space="preserve">Georgia/SC public-sector coverage.</t>
  </si>
  <si>
    <t xml:space="preserve">Stanley Consultants</t>
  </si>
  <si>
    <t xml:space="preserve">Muscatine</t>
  </si>
  <si>
    <t xml:space="preserve">stanleyconsultants.com</t>
  </si>
  <si>
    <t xml:space="preserve">DoD / federal</t>
  </si>
  <si>
    <t xml:space="preserve">Established military/federal engineering firm</t>
  </si>
  <si>
    <t xml:space="preserve">Long-running DoD engineering practice.</t>
  </si>
  <si>
    <t xml:space="preserve">EXP</t>
  </si>
  <si>
    <t xml:space="preserve">Chicago (US)</t>
  </si>
  <si>
    <t xml:space="preserve">exp.com</t>
  </si>
  <si>
    <t xml:space="preserve">Justice / federal</t>
  </si>
  <si>
    <t xml:space="preserve">#2 Justice Facility Engineering (2025)</t>
  </si>
  <si>
    <t xml:space="preserve">Justice MEP leader; corrections HSW is the door-opener.</t>
  </si>
  <si>
    <t xml:space="preserve">Farnsworth Group</t>
  </si>
  <si>
    <t xml:space="preserve">Bloomington</t>
  </si>
  <si>
    <t xml:space="preserve">f-w.com</t>
  </si>
  <si>
    <t xml:space="preserve">Federal / municipal</t>
  </si>
  <si>
    <t xml:space="preserve">Regional A/E with federal work</t>
  </si>
  <si>
    <t xml:space="preserve">Midwest federal coverage.</t>
  </si>
  <si>
    <t xml:space="preserve">Hanson Professional Services</t>
  </si>
  <si>
    <t xml:space="preserve">Springfield</t>
  </si>
  <si>
    <t xml:space="preserve">hanson-inc.com</t>
  </si>
  <si>
    <t xml:space="preserve">Regional engineering with federal practice</t>
  </si>
  <si>
    <t xml:space="preserve">Midwest federal engineering.</t>
  </si>
  <si>
    <t xml:space="preserve">IMEG</t>
  </si>
  <si>
    <t xml:space="preserve">Rock Island</t>
  </si>
  <si>
    <t xml:space="preserve">imegcorp.com</t>
  </si>
  <si>
    <t xml:space="preserve">VA / justice / federal</t>
  </si>
  <si>
    <t xml:space="preserve">#1 VA Facility Engineering; #4 Justice Facility Engineering (2025)</t>
  </si>
  <si>
    <t xml:space="preserve">Highest-leverage single firm in the file: #1 VA, top-5 justice, 80+ offices.</t>
  </si>
  <si>
    <t xml:space="preserve">Perkins&amp;Will</t>
  </si>
  <si>
    <t xml:space="preserve">Chicago</t>
  </si>
  <si>
    <t xml:space="preserve">perkinswill.com</t>
  </si>
  <si>
    <t xml:space="preserve">Government / federal</t>
  </si>
  <si>
    <t xml:space="preserve">#4 Government Building Architecture (2025)</t>
  </si>
  <si>
    <t xml:space="preserve">Design-led giant; MEP partners carry lighting specs.</t>
  </si>
  <si>
    <t xml:space="preserve">Primera Engineers</t>
  </si>
  <si>
    <t xml:space="preserve">MEP/Electrical Engineering</t>
  </si>
  <si>
    <t xml:space="preserve">primeraeng.com</t>
  </si>
  <si>
    <t xml:space="preserve">Government buildings</t>
  </si>
  <si>
    <t xml:space="preserve">#78 Government Building Engineering (2025)</t>
  </si>
  <si>
    <t xml:space="preserve">Mid-size, electrically strong; easier booking than the giants.</t>
  </si>
  <si>
    <t xml:space="preserve">BSA LifeStructures</t>
  </si>
  <si>
    <t xml:space="preserve">Indianapolis</t>
  </si>
  <si>
    <t xml:space="preserve">bsalifestructures.com</t>
  </si>
  <si>
    <t xml:space="preserve">National healthcare design practice</t>
  </si>
  <si>
    <t xml:space="preserve">Healthcare/VA design with in-house engineering.</t>
  </si>
  <si>
    <t xml:space="preserve">Elevatus Architecture</t>
  </si>
  <si>
    <t xml:space="preserve">Fort Wayne</t>
  </si>
  <si>
    <t xml:space="preserve">Corrections / county jails</t>
  </si>
  <si>
    <t xml:space="preserve">Top 10 Justice Facility Architecture (2025); #5 (2023)</t>
  </si>
  <si>
    <t xml:space="preserve">County jail volume leader.</t>
  </si>
  <si>
    <t xml:space="preserve">Guidon Design</t>
  </si>
  <si>
    <t xml:space="preserve">A/E (Integrated, SDVOSB)</t>
  </si>
  <si>
    <t xml:space="preserve">guidondesign.com</t>
  </si>
  <si>
    <t xml:space="preserve">VA / federal</t>
  </si>
  <si>
    <t xml:space="preserve">#3 VA Facility Architecture (2025)</t>
  </si>
  <si>
    <t xml:space="preserve">SDVOSB VA specialist; in-house MEP.</t>
  </si>
  <si>
    <t xml:space="preserve">Black &amp; Veatch</t>
  </si>
  <si>
    <t xml:space="preserve">Overland Park</t>
  </si>
  <si>
    <t xml:space="preserve">bv.com</t>
  </si>
  <si>
    <t xml:space="preserve">Military / federal infrastructure</t>
  </si>
  <si>
    <t xml:space="preserve">#4 Military Facility Engineering (2025)</t>
  </si>
  <si>
    <t xml:space="preserve">Mostly heavy infrastructure; office-level only.</t>
  </si>
  <si>
    <t xml:space="preserve">Hoefer Welker</t>
  </si>
  <si>
    <t xml:space="preserve">Leawood</t>
  </si>
  <si>
    <t xml:space="preserve">hoeferwelker.com</t>
  </si>
  <si>
    <t xml:space="preserve">Justice / VA / federal</t>
  </si>
  <si>
    <t xml:space="preserve">#13 VA Facility Architecture (2024); active justice practice</t>
  </si>
  <si>
    <t xml:space="preserve">Dual-course fit; KC-region base with national growth.</t>
  </si>
  <si>
    <t xml:space="preserve">Treanor</t>
  </si>
  <si>
    <t xml:space="preserve">Lawrence</t>
  </si>
  <si>
    <t xml:space="preserve">Justice / corrections</t>
  </si>
  <si>
    <t xml:space="preserve">National justice practice</t>
  </si>
  <si>
    <t xml:space="preserve">Dedicated justice studio.</t>
  </si>
  <si>
    <t xml:space="preserve">CMTA (Legence)</t>
  </si>
  <si>
    <t xml:space="preserve">Louisville</t>
  </si>
  <si>
    <t xml:space="preserve">cmta.com</t>
  </si>
  <si>
    <t xml:space="preserve">Federal / institutional</t>
  </si>
  <si>
    <t xml:space="preserve">National MEP; federal &amp; institutional practice</t>
  </si>
  <si>
    <t xml:space="preserve">High-performance MEP; energy-driven specs favor quality LED submittals.</t>
  </si>
  <si>
    <t xml:space="preserve">Luckett &amp; Farley</t>
  </si>
  <si>
    <t xml:space="preserve">luckett-farley.com</t>
  </si>
  <si>
    <t xml:space="preserve">Federal / industrial</t>
  </si>
  <si>
    <t xml:space="preserve">Established Louisville A/E</t>
  </si>
  <si>
    <t xml:space="preserve">Federal/industrial base near Fort Knox territory.</t>
  </si>
  <si>
    <t xml:space="preserve">Mason &amp; Hanger</t>
  </si>
  <si>
    <t xml:space="preserve">Lexington</t>
  </si>
  <si>
    <t xml:space="preserve">masonandhanger.com</t>
  </si>
  <si>
    <t xml:space="preserve">Federal secure / hardened / DoD / DoS</t>
  </si>
  <si>
    <t xml:space="preserve">#8 Federal Gov Building Engineering; Top 10 Military Engineering (2025)</t>
  </si>
  <si>
    <t xml:space="preserve">Best single content match for the Federal Secure Facilities HSW. Pairs with Fort Knox/Campbell playbook.</t>
  </si>
  <si>
    <t xml:space="preserve">Bernhard</t>
  </si>
  <si>
    <t xml:space="preserve">Metairie</t>
  </si>
  <si>
    <t xml:space="preserve">bernhard.com</t>
  </si>
  <si>
    <t xml:space="preserve">Federal healthcare / VA</t>
  </si>
  <si>
    <t xml:space="preserve">National MEP + energy-as-a-service</t>
  </si>
  <si>
    <t xml:space="preserve">VA/healthcare MEP presence across the South.</t>
  </si>
  <si>
    <t xml:space="preserve">CDM Smith</t>
  </si>
  <si>
    <t xml:space="preserve">Boston</t>
  </si>
  <si>
    <t xml:space="preserve">cdmsmith.com</t>
  </si>
  <si>
    <t xml:space="preserve">Federal (USACE) / environmental</t>
  </si>
  <si>
    <t xml:space="preserve">Major federal engineering firm</t>
  </si>
  <si>
    <t xml:space="preserve">Water/environmental-led; buildings subset.</t>
  </si>
  <si>
    <t xml:space="preserve">PAYETTE</t>
  </si>
  <si>
    <t xml:space="preserve">payette.com</t>
  </si>
  <si>
    <t xml:space="preserve">VA / federal healthcare &amp; science</t>
  </si>
  <si>
    <t xml:space="preserve">Top 10 VA Facility Architecture (2025)</t>
  </si>
  <si>
    <t xml:space="preserve">Healthcare/science design firm with VA standing.</t>
  </si>
  <si>
    <t xml:space="preserve">Jensen Hughes</t>
  </si>
  <si>
    <t xml:space="preserve">Baltimore</t>
  </si>
  <si>
    <t xml:space="preserve">Specialty Engineering (fire/life safety)</t>
  </si>
  <si>
    <t xml:space="preserve">jensenhughes.com</t>
  </si>
  <si>
    <t xml:space="preserve">Justice / federal life safety</t>
  </si>
  <si>
    <t xml:space="preserve">Top Justice Facility Engineering (2024)</t>
  </si>
  <si>
    <t xml:space="preserve">Influences egress/emergency lighting criteria only.</t>
  </si>
  <si>
    <t xml:space="preserve">Mueller Associates</t>
  </si>
  <si>
    <t xml:space="preserve">muellerassoc.com</t>
  </si>
  <si>
    <t xml:space="preserve">Federal / institutional / cultural</t>
  </si>
  <si>
    <t xml:space="preserve">Established MEP consultant</t>
  </si>
  <si>
    <t xml:space="preserve">Federal/institutional MEP in the NCR orbit.</t>
  </si>
  <si>
    <t xml:space="preserve">Prime AE Group</t>
  </si>
  <si>
    <t xml:space="preserve">primeeng.com</t>
  </si>
  <si>
    <t xml:space="preserve">Federal / justice / municipal</t>
  </si>
  <si>
    <t xml:space="preserve">Growing multi-office A/E</t>
  </si>
  <si>
    <t xml:space="preserve">Mid-Atlantic/Midwest public-sector coverage.</t>
  </si>
  <si>
    <t xml:space="preserve">RMF Engineering</t>
  </si>
  <si>
    <t xml:space="preserve">rmf.com</t>
  </si>
  <si>
    <t xml:space="preserve">Federal / campus utilities</t>
  </si>
  <si>
    <t xml:space="preserve">#6 Federal Gov Building Engineering (2025)</t>
  </si>
  <si>
    <t xml:space="preserve">Pure engineering firm with top-10 federal standing.</t>
  </si>
  <si>
    <t xml:space="preserve">Whitman, Requardt &amp; Associates</t>
  </si>
  <si>
    <t xml:space="preserve">wrallp.com</t>
  </si>
  <si>
    <t xml:space="preserve">Military / federal</t>
  </si>
  <si>
    <t xml:space="preserve">Top 10 Military Facility Architecture (2025)</t>
  </si>
  <si>
    <t xml:space="preserve">Mid-Atlantic military A/E; in-house MEP.</t>
  </si>
  <si>
    <t xml:space="preserve">SmithGroup</t>
  </si>
  <si>
    <t xml:space="preserve">Detroit</t>
  </si>
  <si>
    <t xml:space="preserve">smithgroup.com</t>
  </si>
  <si>
    <t xml:space="preserve">Federal / VA / GSA</t>
  </si>
  <si>
    <t xml:space="preserve">Top 10 Federal Architecture; Top 5 VA Architecture (2025)</t>
  </si>
  <si>
    <t xml:space="preserve">Integrated A/E with in-house MEP and federal studio.</t>
  </si>
  <si>
    <t xml:space="preserve">BKV Group</t>
  </si>
  <si>
    <t xml:space="preserve">Minneapolis</t>
  </si>
  <si>
    <t xml:space="preserve">bkvgroup.com</t>
  </si>
  <si>
    <t xml:space="preserve">Public safety / justice / municipal</t>
  </si>
  <si>
    <t xml:space="preserve">National public-safety design practice</t>
  </si>
  <si>
    <t xml:space="preserve">Police/fire/justice focus with in-house MEP.</t>
  </si>
  <si>
    <t xml:space="preserve">Dunham</t>
  </si>
  <si>
    <t xml:space="preserve">dunhameng.com</t>
  </si>
  <si>
    <t xml:space="preserve">Healthcare / VA</t>
  </si>
  <si>
    <t xml:space="preserve">Regional healthcare MEP leader</t>
  </si>
  <si>
    <t xml:space="preserve">Healthcare/VA MEP in Upper Midwest.</t>
  </si>
  <si>
    <t xml:space="preserve">HGA</t>
  </si>
  <si>
    <t xml:space="preserve">hga.com</t>
  </si>
  <si>
    <t xml:space="preserve">National healthcare + government practice</t>
  </si>
  <si>
    <t xml:space="preserve">In-house engineering; VA healthcare flow.</t>
  </si>
  <si>
    <t xml:space="preserve">KFI Engineers</t>
  </si>
  <si>
    <t xml:space="preserve">St. Paul</t>
  </si>
  <si>
    <t xml:space="preserve">kfi-eng.com</t>
  </si>
  <si>
    <t xml:space="preserve">Federal / VA / institutional</t>
  </si>
  <si>
    <t xml:space="preserve">Regional MEP with federal work</t>
  </si>
  <si>
    <t xml:space="preserve">Upper Midwest federal MEP.</t>
  </si>
  <si>
    <t xml:space="preserve">Klein McCarthy Architects</t>
  </si>
  <si>
    <t xml:space="preserve">kleinmccarthy.com</t>
  </si>
  <si>
    <t xml:space="preserve">Justice / corrections specialist</t>
  </si>
  <si>
    <t xml:space="preserve">Dedicated justice design firm</t>
  </si>
  <si>
    <t xml:space="preserve">Justice-pure practice; fast booking.</t>
  </si>
  <si>
    <t xml:space="preserve">Wold Architects and Engineers</t>
  </si>
  <si>
    <t xml:space="preserve">woldae.com</t>
  </si>
  <si>
    <t xml:space="preserve">Justice / county government</t>
  </si>
  <si>
    <t xml:space="preserve">Top 10 Justice Facility Architecture (2025)</t>
  </si>
  <si>
    <t xml:space="preserve">County justice volume in Upper Midwest.</t>
  </si>
  <si>
    <t xml:space="preserve">BNIM</t>
  </si>
  <si>
    <t xml:space="preserve">Kansas City</t>
  </si>
  <si>
    <t xml:space="preserve">bnim.com</t>
  </si>
  <si>
    <t xml:space="preserve">GSA / federal</t>
  </si>
  <si>
    <t xml:space="preserve">National GSA design portfolio</t>
  </si>
  <si>
    <t xml:space="preserve">High-performance federal design work.</t>
  </si>
  <si>
    <t xml:space="preserve">Burns &amp; McDonnell</t>
  </si>
  <si>
    <t xml:space="preserve">EA (Integrated)</t>
  </si>
  <si>
    <t xml:space="preserve">burnsmcd.com</t>
  </si>
  <si>
    <t xml:space="preserve">Federal / military</t>
  </si>
  <si>
    <t xml:space="preserve">#5 Federal Engineering; #2 Military Engineering (2025)</t>
  </si>
  <si>
    <t xml:space="preserve">Employee-owned EA giant; KC HQ booking + office-level pursuit elsewhere.</t>
  </si>
  <si>
    <t xml:space="preserve">HOK</t>
  </si>
  <si>
    <t xml:space="preserve">St. Louis</t>
  </si>
  <si>
    <t xml:space="preserve">hok.com</t>
  </si>
  <si>
    <t xml:space="preserve">#2 Justice Facility Architecture; Top 10 Federal Architecture (2025)</t>
  </si>
  <si>
    <t xml:space="preserve">Justice studio is the entry; bring partner MEPs into the same L&amp;L.</t>
  </si>
  <si>
    <t xml:space="preserve">Cushing Terrell</t>
  </si>
  <si>
    <t xml:space="preserve">Billings</t>
  </si>
  <si>
    <t xml:space="preserve">cushingterrell.com</t>
  </si>
  <si>
    <t xml:space="preserve">Mountain-West VA coverage; in-house engineering.</t>
  </si>
  <si>
    <t xml:space="preserve">Alesia Architecture</t>
  </si>
  <si>
    <t xml:space="preserve">Omaha</t>
  </si>
  <si>
    <t xml:space="preserve">Architecture (SDVOSB)</t>
  </si>
  <si>
    <t xml:space="preserve">alesiaarchitecture.com</t>
  </si>
  <si>
    <t xml:space="preserve">VA / government / healthcare</t>
  </si>
  <si>
    <t xml:space="preserve">#7 VA Facility Architecture (2025); 23-person SDVOSB</t>
  </si>
  <si>
    <t xml:space="preserve">Smallest firm on the VA arch list = fastest booking. Omaha VA design cluster (with LEO A DALY, HDR, DLR, SES, Alvine).</t>
  </si>
  <si>
    <t xml:space="preserve">Alvine Engineering</t>
  </si>
  <si>
    <t xml:space="preserve">alvine.com</t>
  </si>
  <si>
    <t xml:space="preserve">Omaha MEP with federal/VA practice.</t>
  </si>
  <si>
    <t xml:space="preserve">DLR Group</t>
  </si>
  <si>
    <t xml:space="preserve">Omaha (multi-office)</t>
  </si>
  <si>
    <t xml:space="preserve">dlrgroup.com</t>
  </si>
  <si>
    <t xml:space="preserve">Justice #1 / civic</t>
  </si>
  <si>
    <t xml:space="preserve">#1 Justice Facility Architecture (2025)</t>
  </si>
  <si>
    <t xml:space="preserve">The national corrections design leader. Kenall's home turf - your corrections HSW is the counter-move.</t>
  </si>
  <si>
    <t xml:space="preserve">Farris Engineering</t>
  </si>
  <si>
    <t xml:space="preserve">Regional MEP</t>
  </si>
  <si>
    <t xml:space="preserve">Rounds out the Omaha cluster.</t>
  </si>
  <si>
    <t xml:space="preserve">HDR</t>
  </si>
  <si>
    <t xml:space="preserve">hdrinc.com</t>
  </si>
  <si>
    <t xml:space="preserve">Military #1 arch / federal / justice / VA</t>
  </si>
  <si>
    <t xml:space="preserve">#1 Military Architecture; top-10 federal; top-5 justice (2025)</t>
  </si>
  <si>
    <t xml:space="preserve">Broadest sector coverage on this list; Kenall's corrections terrain - get there first.</t>
  </si>
  <si>
    <t xml:space="preserve">LEO A DALY</t>
  </si>
  <si>
    <t xml:space="preserve">leoadaly.com</t>
  </si>
  <si>
    <t xml:space="preserve">VA #1 arch / justice / federal</t>
  </si>
  <si>
    <t xml:space="preserve">#1 VA Facility Architecture 7 straight years; Top 10 Justice (2025)</t>
  </si>
  <si>
    <t xml:space="preserve">VA design leader (2,000+ VA task orders); in-house engineering.</t>
  </si>
  <si>
    <t xml:space="preserve">Schemmer</t>
  </si>
  <si>
    <t xml:space="preserve">schemmer.com</t>
  </si>
  <si>
    <t xml:space="preserve">Omaha-based federal coverage.</t>
  </si>
  <si>
    <t xml:space="preserve">Specialized Engineering Solutions</t>
  </si>
  <si>
    <t xml:space="preserve">#2 VA Facility Engineering (2025)</t>
  </si>
  <si>
    <t xml:space="preserve">Small VA-focused MEP punching far above its weight.</t>
  </si>
  <si>
    <t xml:space="preserve">Dekker (Dekker Perich Sabatini)</t>
  </si>
  <si>
    <t xml:space="preserve">Albuquerque</t>
  </si>
  <si>
    <t xml:space="preserve">Federal (Kirtland AFB / Sandia orbit)</t>
  </si>
  <si>
    <t xml:space="preserve">Regional federal A/E</t>
  </si>
  <si>
    <t xml:space="preserve">New Mexico federal/DoE adjacency.</t>
  </si>
  <si>
    <t xml:space="preserve">Arup US</t>
  </si>
  <si>
    <t xml:space="preserve">New York</t>
  </si>
  <si>
    <t xml:space="preserve">arup.com</t>
  </si>
  <si>
    <t xml:space="preserve">#5 Government Building Engineering (2025)</t>
  </si>
  <si>
    <t xml:space="preserve">Elite consulting engineer; project-specific entry.</t>
  </si>
  <si>
    <t xml:space="preserve">CannonDesign</t>
  </si>
  <si>
    <t xml:space="preserve">New York (multi)</t>
  </si>
  <si>
    <t xml:space="preserve">cannondesign.com</t>
  </si>
  <si>
    <t xml:space="preserve">National healthcare + federal practice</t>
  </si>
  <si>
    <t xml:space="preserve">VA healthcare design with in-house engineering.</t>
  </si>
  <si>
    <t xml:space="preserve">Perkins Eastman</t>
  </si>
  <si>
    <t xml:space="preserve">perkinseastman.com</t>
  </si>
  <si>
    <t xml:space="preserve">VA / senior living / healthcare</t>
  </si>
  <si>
    <t xml:space="preserve">VA and state veterans-home work.</t>
  </si>
  <si>
    <t xml:space="preserve">STV</t>
  </si>
  <si>
    <t xml:space="preserve">stvinc.com</t>
  </si>
  <si>
    <t xml:space="preserve">Justice / federal / transit</t>
  </si>
  <si>
    <t xml:space="preserve">#3 Justice Facility Engineering (2025)</t>
  </si>
  <si>
    <t xml:space="preserve">Justice engineering leader in the Northeast corridor.</t>
  </si>
  <si>
    <t xml:space="preserve">Skidmore, Owings &amp; Merrill (SOM)</t>
  </si>
  <si>
    <t xml:space="preserve">New York / Chicago</t>
  </si>
  <si>
    <t xml:space="preserve">som.com</t>
  </si>
  <si>
    <t xml:space="preserve">Federal (GSA, embassies, courthouses)</t>
  </si>
  <si>
    <t xml:space="preserve">Top 5 Federal Gov Building Architecture (2025)</t>
  </si>
  <si>
    <t xml:space="preserve">Signature federal work; spec control shared with consulting MEPs.</t>
  </si>
  <si>
    <t xml:space="preserve">Syska Hennessy Group</t>
  </si>
  <si>
    <t xml:space="preserve">syska.com</t>
  </si>
  <si>
    <t xml:space="preserve">Justice / federal / mission critical</t>
  </si>
  <si>
    <t xml:space="preserve">Top 10 Justice Facility Engineering (2025)</t>
  </si>
  <si>
    <t xml:space="preserve">Blue-chip MEP; specs flow through their standards group.</t>
  </si>
  <si>
    <t xml:space="preserve">Urbahn Architects</t>
  </si>
  <si>
    <t xml:space="preserve">urbahn.com</t>
  </si>
  <si>
    <t xml:space="preserve">Justice / civic / federal</t>
  </si>
  <si>
    <t xml:space="preserve">NYC-region justice work.</t>
  </si>
  <si>
    <t xml:space="preserve">WSP USA</t>
  </si>
  <si>
    <t xml:space="preserve">wsp.com</t>
  </si>
  <si>
    <t xml:space="preserve">Federal / military / VA</t>
  </si>
  <si>
    <t xml:space="preserve">#3 Federal Engineering; top-10 military &amp; VA engineering (2025)</t>
  </si>
  <si>
    <t xml:space="preserve">Giant; pursue via specific building-MEP offices.</t>
  </si>
  <si>
    <t xml:space="preserve">Stantec</t>
  </si>
  <si>
    <t xml:space="preserve">Edmonton, AB (US offices nationwide)</t>
  </si>
  <si>
    <t xml:space="preserve">stantec.com</t>
  </si>
  <si>
    <t xml:space="preserve">Federal / military / justice</t>
  </si>
  <si>
    <t xml:space="preserve">Top 5 Federal Arch; #2 Military Arch; #3 Justice Arch (2025)</t>
  </si>
  <si>
    <t xml:space="preserve">Top-5 in all three of your sectors; execution is office-by-office through reps.</t>
  </si>
  <si>
    <t xml:space="preserve">DLZ</t>
  </si>
  <si>
    <t xml:space="preserve">Columbus</t>
  </si>
  <si>
    <t xml:space="preserve">dlz.com</t>
  </si>
  <si>
    <t xml:space="preserve">Regional multi-office A/E</t>
  </si>
  <si>
    <t xml:space="preserve">Ohio/Midwest public-sector base.</t>
  </si>
  <si>
    <t xml:space="preserve">HEAPY</t>
  </si>
  <si>
    <t xml:space="preserve">Dayton</t>
  </si>
  <si>
    <t xml:space="preserve">heapy.com</t>
  </si>
  <si>
    <t xml:space="preserve">VA / federal / healthcare</t>
  </si>
  <si>
    <t xml:space="preserve">Dayton HQ next to WPAFB - stack with the WPAFB playbook trips.</t>
  </si>
  <si>
    <t xml:space="preserve">Karpinski Engineering</t>
  </si>
  <si>
    <t xml:space="preserve">Cleveland</t>
  </si>
  <si>
    <t xml:space="preserve">karpinskieng.com</t>
  </si>
  <si>
    <t xml:space="preserve">Regional healthcare MEP</t>
  </si>
  <si>
    <t xml:space="preserve">Cleveland VA/healthcare MEP.</t>
  </si>
  <si>
    <t xml:space="preserve">Osborn Engineering</t>
  </si>
  <si>
    <t xml:space="preserve">osborn-eng.com</t>
  </si>
  <si>
    <t xml:space="preserve">Long-established engineering firm</t>
  </si>
  <si>
    <t xml:space="preserve">Ohio federal/VA coverage.</t>
  </si>
  <si>
    <t xml:space="preserve">SSOE Group</t>
  </si>
  <si>
    <t xml:space="preserve">Toledo</t>
  </si>
  <si>
    <t xml:space="preserve">ssoe.com</t>
  </si>
  <si>
    <t xml:space="preserve">Industrial / federal</t>
  </si>
  <si>
    <t xml:space="preserve">Top 10 Engineering Architecture Firms (2025)</t>
  </si>
  <si>
    <t xml:space="preserve">Industrial EA giant. NOTE: also a food/bev design leader - dual-use when F&amp;B course targeting starts.</t>
  </si>
  <si>
    <t xml:space="preserve">Woolpert</t>
  </si>
  <si>
    <t xml:space="preserve">A/E + Geospatial</t>
  </si>
  <si>
    <t xml:space="preserve">woolpert.com</t>
  </si>
  <si>
    <t xml:space="preserve">Federal / DoD (AF heavy)</t>
  </si>
  <si>
    <t xml:space="preserve">National federal A/E and USAF legacy</t>
  </si>
  <si>
    <t xml:space="preserve">WPAFB-adjacent; AF relationships run deep.</t>
  </si>
  <si>
    <t xml:space="preserve">Benham (Haskell)</t>
  </si>
  <si>
    <t xml:space="preserve">Oklahoma City</t>
  </si>
  <si>
    <t xml:space="preserve">Legacy federal design-build A/E</t>
  </si>
  <si>
    <t xml:space="preserve">Now under Haskell; federal design roots in OKC/Tulsa.</t>
  </si>
  <si>
    <t xml:space="preserve">FSB (Frankfurt Short Bruza)</t>
  </si>
  <si>
    <t xml:space="preserve">fsb-ae.com</t>
  </si>
  <si>
    <t xml:space="preserve">Federal / DoD (Tinker AFB orbit)</t>
  </si>
  <si>
    <t xml:space="preserve">Established DoD design firm</t>
  </si>
  <si>
    <t xml:space="preserve">OKC military design leader; second OK anchor for ULA Oklahoma.</t>
  </si>
  <si>
    <t xml:space="preserve">Guernsey</t>
  </si>
  <si>
    <t xml:space="preserve">guernsey.us</t>
  </si>
  <si>
    <t xml:space="preserve">Federal / DoD / tribal</t>
  </si>
  <si>
    <t xml:space="preserve">Established federal A/E (DoD IDIQs)</t>
  </si>
  <si>
    <t xml:space="preserve">Pair with ULA Oklahoma (Tier 1R rep) for a joint push.</t>
  </si>
  <si>
    <t xml:space="preserve">Interface Engineering</t>
  </si>
  <si>
    <t xml:space="preserve">Portland</t>
  </si>
  <si>
    <t xml:space="preserve">interfaceengineering.com</t>
  </si>
  <si>
    <t xml:space="preserve">West Coast MEP with federal work</t>
  </si>
  <si>
    <t xml:space="preserve">Pacific Northwest federal MEP.</t>
  </si>
  <si>
    <t xml:space="preserve">ZGF Architects</t>
  </si>
  <si>
    <t xml:space="preserve">zgf.com</t>
  </si>
  <si>
    <t xml:space="preserve">Federal (GSA/courthouse)</t>
  </si>
  <si>
    <t xml:space="preserve">Top 10 Federal Gov Building Architecture (2025)</t>
  </si>
  <si>
    <t xml:space="preserve">Design-led; MEP outside.</t>
  </si>
  <si>
    <t xml:space="preserve">AE Works</t>
  </si>
  <si>
    <t xml:space="preserve">Pittsburgh</t>
  </si>
  <si>
    <t xml:space="preserve">aeworks.com</t>
  </si>
  <si>
    <t xml:space="preserve">VA / federal secure</t>
  </si>
  <si>
    <t xml:space="preserve">#2 VA Facility Architecture (2025)</t>
  </si>
  <si>
    <t xml:space="preserve">HOME FIELD: Pittsburgh VA specialist ranked #2 nationally. Book personally, first.</t>
  </si>
  <si>
    <t xml:space="preserve">(direct - Doyle)</t>
  </si>
  <si>
    <t xml:space="preserve">Pittsburgh, PA</t>
  </si>
  <si>
    <t xml:space="preserve">(verify EE lead at booking)</t>
  </si>
  <si>
    <t xml:space="preserve">Director of Engineering</t>
  </si>
  <si>
    <t xml:space="preserve">via aeworks.com contact form</t>
  </si>
  <si>
    <t xml:space="preserve">2026-07-30</t>
  </si>
  <si>
    <t xml:space="preserve">Confirm August date + AV needs</t>
  </si>
  <si>
    <t xml:space="preserve">EXAMPLE ROW - overwrite with real data</t>
  </si>
  <si>
    <t xml:space="preserve">Buchart Horn</t>
  </si>
  <si>
    <t xml:space="preserve">York</t>
  </si>
  <si>
    <t xml:space="preserve">Federal / DoD / municipal</t>
  </si>
  <si>
    <t xml:space="preserve">Established PA A/E</t>
  </si>
  <si>
    <t xml:space="preserve">Central PA federal coverage.</t>
  </si>
  <si>
    <t xml:space="preserve">CJL Engineering</t>
  </si>
  <si>
    <t xml:space="preserve">Moon Township (Pittsburgh)</t>
  </si>
  <si>
    <t xml:space="preserve">cjlengineering.com</t>
  </si>
  <si>
    <t xml:space="preserve">Healthcare / institutional / VA</t>
  </si>
  <si>
    <t xml:space="preserve">Home-region MEP; easy first-mile booking.</t>
  </si>
  <si>
    <t xml:space="preserve">EwingCole</t>
  </si>
  <si>
    <t xml:space="preserve">Philadelphia</t>
  </si>
  <si>
    <t xml:space="preserve">ewingcole.com</t>
  </si>
  <si>
    <t xml:space="preserve">Federal (FDA / VA / DoD)</t>
  </si>
  <si>
    <t xml:space="preserve">Major federal A/E practice</t>
  </si>
  <si>
    <t xml:space="preserve">Philadelphia federal design anchor; in-house MEP.</t>
  </si>
  <si>
    <t xml:space="preserve">GFT (formerly Gannett Fleming)</t>
  </si>
  <si>
    <t xml:space="preserve">Camp Hill (Harrisburg)</t>
  </si>
  <si>
    <t xml:space="preserve">gannettfleming.com</t>
  </si>
  <si>
    <t xml:space="preserve">PA firm, drivable; rebranded to GFT in 2024.</t>
  </si>
  <si>
    <t xml:space="preserve">H.F. Lenz</t>
  </si>
  <si>
    <t xml:space="preserve">Johnstown</t>
  </si>
  <si>
    <t xml:space="preserve">hflenz.com</t>
  </si>
  <si>
    <t xml:space="preserve">Western PA MEP with federal/VA record.</t>
  </si>
  <si>
    <t xml:space="preserve">Larson Design Group</t>
  </si>
  <si>
    <t xml:space="preserve">Williamsport</t>
  </si>
  <si>
    <t xml:space="preserve">larsondesigngroup.com</t>
  </si>
  <si>
    <t xml:space="preserve">PA firm; growing federal practice.</t>
  </si>
  <si>
    <t xml:space="preserve">Michael Baker International</t>
  </si>
  <si>
    <t xml:space="preserve">Pittsburgh (Moon Twp)</t>
  </si>
  <si>
    <t xml:space="preserve">mbakerintl.com</t>
  </si>
  <si>
    <t xml:space="preserve">#7 Federal Engineering; #6 Military Engineering (2025)</t>
  </si>
  <si>
    <t xml:space="preserve">HOME FIELD: HQ in your backyard. Pilot the L&amp;L format here.</t>
  </si>
  <si>
    <t xml:space="preserve">NELSON Worldwide</t>
  </si>
  <si>
    <t xml:space="preserve">Philadelphia (multi)</t>
  </si>
  <si>
    <t xml:space="preserve">nelsonworldwide.com</t>
  </si>
  <si>
    <t xml:space="preserve">Justice / civic</t>
  </si>
  <si>
    <t xml:space="preserve">Top 5 Justice Facility Architecture (2025)</t>
  </si>
  <si>
    <t xml:space="preserve">Confirm which office carries the justice practice.</t>
  </si>
  <si>
    <t xml:space="preserve">Pennoni</t>
  </si>
  <si>
    <t xml:space="preserve">pennoni.com</t>
  </si>
  <si>
    <t xml:space="preserve">Regional multi-discipline engineering</t>
  </si>
  <si>
    <t xml:space="preserve">Mid-Atlantic federal coverage.</t>
  </si>
  <si>
    <t xml:space="preserve">LS3P Associates</t>
  </si>
  <si>
    <t xml:space="preserve">Charleston</t>
  </si>
  <si>
    <t xml:space="preserve">ls3p.com</t>
  </si>
  <si>
    <t xml:space="preserve">Military / federal (Southeast)</t>
  </si>
  <si>
    <t xml:space="preserve">Southeast military bases coverage.</t>
  </si>
  <si>
    <t xml:space="preserve">Above Group</t>
  </si>
  <si>
    <t xml:space="preserve">(verify HQ)</t>
  </si>
  <si>
    <t xml:space="preserve">Engineering</t>
  </si>
  <si>
    <t xml:space="preserve">#3 VA Facility Engineering (2025)</t>
  </si>
  <si>
    <t xml:space="preserve">VERIFY HQ/site - #3 VA engineering standing makes this worth 10 minutes of research.</t>
  </si>
  <si>
    <t xml:space="preserve">CB Design Group</t>
  </si>
  <si>
    <t xml:space="preserve">#4 VA Facility Engineering (2025)</t>
  </si>
  <si>
    <t xml:space="preserve">VERIFY HQ/site - #4 VA engineering standing.</t>
  </si>
  <si>
    <t xml:space="preserve">Allen &amp; Hoshall</t>
  </si>
  <si>
    <t xml:space="preserve">Memphis</t>
  </si>
  <si>
    <t xml:space="preserve">allenhoshall.com</t>
  </si>
  <si>
    <t xml:space="preserve">Regional engineering with federal work</t>
  </si>
  <si>
    <t xml:space="preserve">Mid-South federal coverage.</t>
  </si>
  <si>
    <t xml:space="preserve">Barge Design Solutions</t>
  </si>
  <si>
    <t xml:space="preserve">Nashville</t>
  </si>
  <si>
    <t xml:space="preserve">bargedesign.com</t>
  </si>
  <si>
    <t xml:space="preserve">Tennessee Valley federal coverage.</t>
  </si>
  <si>
    <t xml:space="preserve">Gresham Smith</t>
  </si>
  <si>
    <t xml:space="preserve">greshamsmith.com</t>
  </si>
  <si>
    <t xml:space="preserve">Federal / healthcare / aviation</t>
  </si>
  <si>
    <t xml:space="preserve">National multi-market A/E</t>
  </si>
  <si>
    <t xml:space="preserve">Healthcare/federal crossover.</t>
  </si>
  <si>
    <t xml:space="preserve">SSR (Smith Seckman Reid)</t>
  </si>
  <si>
    <t xml:space="preserve">ssr-inc.com</t>
  </si>
  <si>
    <t xml:space="preserve">Healthcare MEP heavyweight; VA project flow.</t>
  </si>
  <si>
    <t xml:space="preserve">AECOM</t>
  </si>
  <si>
    <t xml:space="preserve">Dallas</t>
  </si>
  <si>
    <t xml:space="preserve">aecom.com</t>
  </si>
  <si>
    <t xml:space="preserve">Federal #2 eng / justice #1 eng / military #3</t>
  </si>
  <si>
    <t xml:space="preserve">#2 Federal Eng; #1 Justice Eng; #3 Military Eng (2025)</t>
  </si>
  <si>
    <t xml:space="preserve">Top-3 in every sector you sell into - attack office-by-office through reps.</t>
  </si>
  <si>
    <t xml:space="preserve">Fluor</t>
  </si>
  <si>
    <t xml:space="preserve">Irving</t>
  </si>
  <si>
    <t xml:space="preserve">EPC / Engineering</t>
  </si>
  <si>
    <t xml:space="preserve">fluor.com</t>
  </si>
  <si>
    <t xml:space="preserve">Federal #1 eng (program/EPC)</t>
  </si>
  <si>
    <t xml:space="preserve">#1 Federal Gov Building Engineering (2025)</t>
  </si>
  <si>
    <t xml:space="preserve">EPC/program delivery - lowest lighting-spec leverage of the giants.</t>
  </si>
  <si>
    <t xml:space="preserve">HKS</t>
  </si>
  <si>
    <t xml:space="preserve">hksinc.com</t>
  </si>
  <si>
    <t xml:space="preserve">VA healthcare standing.</t>
  </si>
  <si>
    <t xml:space="preserve">Huitt-Zollars</t>
  </si>
  <si>
    <t xml:space="preserve">huitt-zollars.com</t>
  </si>
  <si>
    <t xml:space="preserve">Texas federal coverage.</t>
  </si>
  <si>
    <t xml:space="preserve">Jacobs</t>
  </si>
  <si>
    <t xml:space="preserve">jacobs.com</t>
  </si>
  <si>
    <t xml:space="preserve">Military #1 eng / federal</t>
  </si>
  <si>
    <t xml:space="preserve">#1 Military Facility Engineering; #4 Federal Engineering (2025)</t>
  </si>
  <si>
    <t xml:space="preserve">Giant upside, office-level execution only.</t>
  </si>
  <si>
    <t xml:space="preserve">Marmon Mok</t>
  </si>
  <si>
    <t xml:space="preserve">San Antonio</t>
  </si>
  <si>
    <t xml:space="preserve">marmonmok.com</t>
  </si>
  <si>
    <t xml:space="preserve">Military (JBSA)</t>
  </si>
  <si>
    <t xml:space="preserve">San Antonio military market firm</t>
  </si>
  <si>
    <t xml:space="preserve">JBSA is one of the largest DoD concentrations in the country.</t>
  </si>
  <si>
    <t xml:space="preserve">Page</t>
  </si>
  <si>
    <t xml:space="preserve">Austin (major DC office)</t>
  </si>
  <si>
    <t xml:space="preserve">pagethink.com</t>
  </si>
  <si>
    <t xml:space="preserve">Federal #1 arch / military / VA</t>
  </si>
  <si>
    <t xml:space="preserve">#1 Federal Architecture; #2 VA Architecture (2023); Top 10 Military (2025)</t>
  </si>
  <si>
    <t xml:space="preserve">Top federal architecture firm with in-house engineering; DC office is the center of gravity.</t>
  </si>
  <si>
    <t xml:space="preserve">Parkhill</t>
  </si>
  <si>
    <t xml:space="preserve">Lubbock</t>
  </si>
  <si>
    <t xml:space="preserve">parkhill.com</t>
  </si>
  <si>
    <t xml:space="preserve">Regional A/E</t>
  </si>
  <si>
    <t xml:space="preserve">West Texas / NM federal-municipal base.</t>
  </si>
  <si>
    <t xml:space="preserve">Walter P Moore</t>
  </si>
  <si>
    <t xml:space="preserve">Houston</t>
  </si>
  <si>
    <t xml:space="preserve">Engineering (structural-led)</t>
  </si>
  <si>
    <t xml:space="preserve">walterpmoore.com</t>
  </si>
  <si>
    <t xml:space="preserve">Justice</t>
  </si>
  <si>
    <t xml:space="preserve">Primarily structural - limited lighting spec influence.</t>
  </si>
  <si>
    <t xml:space="preserve">Clark Nexsen</t>
  </si>
  <si>
    <t xml:space="preserve">Virginia Beach</t>
  </si>
  <si>
    <t xml:space="preserve">clarknexsen.com</t>
  </si>
  <si>
    <t xml:space="preserve">Federal / NAVFAC / DoD</t>
  </si>
  <si>
    <t xml:space="preserve">Established NAVFAC/DoD A/E leader</t>
  </si>
  <si>
    <t xml:space="preserve">Direct tie to your J-875 submittal machinery and Navy pipeline.</t>
  </si>
  <si>
    <t xml:space="preserve">Dewberry</t>
  </si>
  <si>
    <t xml:space="preserve">Fairfax</t>
  </si>
  <si>
    <t xml:space="preserve">dewberry.com</t>
  </si>
  <si>
    <t xml:space="preserve">Justice #5 eng / federal / VA</t>
  </si>
  <si>
    <t xml:space="preserve">#5 Justice Facility Engineering (2025)</t>
  </si>
  <si>
    <t xml:space="preserve">Full-service federal A/E with justice engineering standing; NCR base.</t>
  </si>
  <si>
    <t xml:space="preserve">Moseley Architects</t>
  </si>
  <si>
    <t xml:space="preserve">Richmond</t>
  </si>
  <si>
    <t xml:space="preserve">moseleyarchitects.com</t>
  </si>
  <si>
    <t xml:space="preserve">Corrections / justice (state &amp; county)</t>
  </si>
  <si>
    <t xml:space="preserve">Top 10 Justice Facility Architecture 2025; #4 (2024)</t>
  </si>
  <si>
    <t xml:space="preserve">Mid-Atlantic corrections volume leader; in-house engineering.</t>
  </si>
  <si>
    <t xml:space="preserve">Parsons</t>
  </si>
  <si>
    <t xml:space="preserve">Chantilly</t>
  </si>
  <si>
    <t xml:space="preserve">parsons.com</t>
  </si>
  <si>
    <t xml:space="preserve">Federal / defense / security</t>
  </si>
  <si>
    <t xml:space="preserve">Major defense engineering firm</t>
  </si>
  <si>
    <t xml:space="preserve">Defense/security-led; facility design subset.</t>
  </si>
  <si>
    <t xml:space="preserve">RRMM Architects</t>
  </si>
  <si>
    <t xml:space="preserve">Norfolk</t>
  </si>
  <si>
    <t xml:space="preserve">rrmm.com</t>
  </si>
  <si>
    <t xml:space="preserve">Navy / DoD / municipal</t>
  </si>
  <si>
    <t xml:space="preserve">Hampton Roads Navy-market firm</t>
  </si>
  <si>
    <t xml:space="preserve">Navy installation orbit; pairs with Clark Nexsen territory.</t>
  </si>
  <si>
    <t xml:space="preserve">Wiley|Wilson</t>
  </si>
  <si>
    <t xml:space="preserve">Lynchburg</t>
  </si>
  <si>
    <t xml:space="preserve">wileywilson.com</t>
  </si>
  <si>
    <t xml:space="preserve">Federal / DoD / VA</t>
  </si>
  <si>
    <t xml:space="preserve">Virginia federal A/E; in-house electrical.</t>
  </si>
  <si>
    <t xml:space="preserve">Blue Trident</t>
  </si>
  <si>
    <t xml:space="preserve">Bainbridge Island (Seattle)</t>
  </si>
  <si>
    <t xml:space="preserve">Engineering / Design-Build (SDVOSB)</t>
  </si>
  <si>
    <t xml:space="preserve">blue-trident.com</t>
  </si>
  <si>
    <t xml:space="preserve">VA / Navy / DoD</t>
  </si>
  <si>
    <t xml:space="preserve">#7 VA Facility Engineering (2025); SDVOSB, 8(a) graduate</t>
  </si>
  <si>
    <t xml:space="preserve">Civil/structural-led design-build; real VA/DoD award pipeline ($41M+ federal awards) but limited lighting-spec desk.</t>
  </si>
  <si>
    <t xml:space="preserve">Coffman Engineers</t>
  </si>
  <si>
    <t xml:space="preserve">Seattle</t>
  </si>
  <si>
    <t xml:space="preserve">MEP+ Engineering</t>
  </si>
  <si>
    <t xml:space="preserve">coffman.com</t>
  </si>
  <si>
    <t xml:space="preserve">Federal / DoD (incl. Pacific)</t>
  </si>
  <si>
    <t xml:space="preserve">National multi-discipline with federal practice</t>
  </si>
  <si>
    <t xml:space="preserve">In-house electrical; federal work across West/Pacific.</t>
  </si>
  <si>
    <t xml:space="preserve">KPFF Consulting Engineers</t>
  </si>
  <si>
    <t xml:space="preserve">Engineering (structural/civil-led)</t>
  </si>
  <si>
    <t xml:space="preserve">kpff.com</t>
  </si>
  <si>
    <t xml:space="preserve">Government / justice / VA</t>
  </si>
  <si>
    <t xml:space="preserve">Top 10 Gov Building Engineering; justice &amp; VA ranked (2025)</t>
  </si>
  <si>
    <t xml:space="preserve">Structural/civil-led - low lighting leverage.</t>
  </si>
  <si>
    <t xml:space="preserve">Affiliated Engineers (AEI)</t>
  </si>
  <si>
    <t xml:space="preserve">Madison</t>
  </si>
  <si>
    <t xml:space="preserve">aeieng.com</t>
  </si>
  <si>
    <t xml:space="preserve">Federal #9 eng / labs / healthcare</t>
  </si>
  <si>
    <t xml:space="preserve">#9 Federal Gov Building Engineering (2025)</t>
  </si>
  <si>
    <t xml:space="preserve">Elite technical MEP; federal lab/healthcare specs.</t>
  </si>
  <si>
    <t xml:space="preserve">Mead &amp; Hunt</t>
  </si>
  <si>
    <t xml:space="preserve">meadhunt.com</t>
  </si>
  <si>
    <t xml:space="preserve">Military / aviation / federal</t>
  </si>
  <si>
    <t xml:space="preserve">National military &amp; aviation practice</t>
  </si>
  <si>
    <t xml:space="preserve">Military aviation facilities niche.</t>
  </si>
  <si>
    <t xml:space="preserve">Silling Architects</t>
  </si>
  <si>
    <t xml:space="preserve">Justice / courts</t>
  </si>
  <si>
    <t xml:space="preserve">Regional justice/courts practice</t>
  </si>
  <si>
    <t xml:space="preserve">Courts/justice work in WV/Mid-Atlantic.</t>
  </si>
  <si>
    <t xml:space="preserve">XtraLight AIA CES Lunch &amp; Learn - Command Workbook</t>
  </si>
  <si>
    <t xml:space="preserve">GENERATED FILE - built from data/targets.csv by scripts/build_workbook.py. To change the roster permanently, edit the CSV and rebuild (or commit to GitHub and let the Action rebuild). Direct edits to this file can be pulled back into the CSV with scripts/sync_from_workbook.py.</t>
  </si>
  <si>
    <t xml:space="preserve">WHAT TO EDIT</t>
  </si>
  <si>
    <t xml:space="preserve">Pale-yellow cells: columns K-U on the Targets tab (rep agency, status, course, office, contact, dates, actions, notes) and the blue Booking Goal cell on the Dashboard. Everything else is data or formulas - leave it alone and the Dashboard stays live.</t>
  </si>
  <si>
    <t xml:space="preserve">The AE Works row is pre-filled as a format example - overwrite it with real data. Status and Course columns have dropdowns; pick from the list so the Dashboard counts stay accurate.</t>
  </si>
  <si>
    <t xml:space="preserve">Status ladder: Not Started &gt; Outreach Sent &gt; In Scheduling &gt; Scheduled &gt; Presented, with Follow-Up / Declined / Dormant as exits. Scheduled turns green, Presented dark green, Declined gray - automatically.</t>
  </si>
  <si>
    <t xml:space="preserve">HOW TO WORK THE LIST</t>
  </si>
  <si>
    <t xml:space="preserve">1. HQ state understates reach - most Tier 1-3 firms run 10-100+ offices. Book the office nearest the rep agency, not the HQ, except the Pittsburgh home-field targets.</t>
  </si>
  <si>
    <t xml:space="preserve">2. Entry paths by hit rate: (a) rep agency's existing relationship with the office's electrical dept head or spec team; (b) the firm's published lunch-and-learn / CES presentation request route; (c) named electrical engineers / lighting designers via LinkedIn, citing the specific HSW course title and 1.0 LU|HSW credit.</t>
  </si>
  <si>
    <t xml:space="preserve">3. Named individual contacts are deliberately not pre-loaded - they churn fast. Capture them in columns O-Q as you verify at booking time.</t>
  </si>
  <si>
    <t xml:space="preserve">4. Filter plays: Priority = Tier 1 + CEU Fit = COR gives the corrections call block. State = PA gives the home-field week. State = NE gives the Omaha VA cluster - one trip, eight firms.</t>
  </si>
  <si>
    <t xml:space="preserve">LEGEND</t>
  </si>
  <si>
    <t xml:space="preserve">Tier 1 - Book directly. Tier 2 - Second wave. Tier 3 - Giants / low-spec-leverage: office-by-office through reps only.</t>
  </si>
  <si>
    <t xml:space="preserve">CEU Fit: FED = Federal Secure Facilities HSW. COR = Correctional/Secure Environments HSW. FED+COR = both. (Food &amp; Bev course targets a different firm universe; SSOE is the one crossover flag.)</t>
  </si>
</sst>
</file>

<file path=xl/styles.xml><?xml version="1.0" encoding="utf-8"?>
<styleSheet xmlns="http://schemas.openxmlformats.org/spreadsheetml/2006/main">
  <numFmts count="4">
    <numFmt numFmtId="164" formatCode="General"/>
    <numFmt numFmtId="165" formatCode="General"/>
    <numFmt numFmtId="166" formatCode="0"/>
    <numFmt numFmtId="167" formatCode="0%"/>
  </numFmts>
  <fonts count="22">
    <font>
      <sz val="11"/>
      <color theme="1"/>
      <name val="Calibri"/>
      <family val="2"/>
      <charset val="1"/>
    </font>
    <font>
      <sz val="10"/>
      <name val="Arial"/>
      <family val="0"/>
    </font>
    <font>
      <sz val="10"/>
      <name val="Arial"/>
      <family val="0"/>
    </font>
    <font>
      <sz val="10"/>
      <name val="Arial"/>
      <family val="0"/>
    </font>
    <font>
      <b val="true"/>
      <sz val="16"/>
      <color rgb="FF0079C1"/>
      <name val="Arial"/>
      <family val="0"/>
      <charset val="1"/>
    </font>
    <font>
      <b val="true"/>
      <sz val="11"/>
      <color rgb="FF0079C1"/>
      <name val="Arial"/>
      <family val="0"/>
      <charset val="1"/>
    </font>
    <font>
      <i val="true"/>
      <sz val="9"/>
      <color rgb="FF595959"/>
      <name val="Arial"/>
      <family val="0"/>
      <charset val="1"/>
    </font>
    <font>
      <b val="true"/>
      <sz val="9"/>
      <color rgb="FFFFFFFF"/>
      <name val="Arial"/>
      <family val="0"/>
      <charset val="1"/>
    </font>
    <font>
      <sz val="9"/>
      <color rgb="FF000000"/>
      <name val="Arial"/>
      <family val="0"/>
      <charset val="1"/>
    </font>
    <font>
      <b val="true"/>
      <sz val="9"/>
      <color rgb="FF000000"/>
      <name val="Arial"/>
      <family val="0"/>
      <charset val="1"/>
    </font>
    <font>
      <b val="true"/>
      <sz val="9"/>
      <color rgb="FF595959"/>
      <name val="Arial"/>
      <family val="0"/>
      <charset val="1"/>
    </font>
    <font>
      <b val="true"/>
      <sz val="18"/>
      <color rgb="FF0079C1"/>
      <name val="Arial"/>
      <family val="0"/>
      <charset val="1"/>
    </font>
    <font>
      <b val="true"/>
      <sz val="10"/>
      <color rgb="FF000000"/>
      <name val="Arial"/>
      <family val="0"/>
      <charset val="1"/>
    </font>
    <font>
      <b val="true"/>
      <sz val="12"/>
      <color rgb="FF0000FF"/>
      <name val="Arial"/>
      <family val="0"/>
      <charset val="1"/>
    </font>
    <font>
      <b val="true"/>
      <sz val="12"/>
      <color rgb="FFC49F06"/>
      <name val="Arial"/>
      <family val="0"/>
      <charset val="1"/>
    </font>
    <font>
      <i val="true"/>
      <sz val="8"/>
      <color rgb="FF595959"/>
      <name val="Arial"/>
      <family val="0"/>
      <charset val="1"/>
    </font>
    <font>
      <b val="true"/>
      <sz val="18"/>
      <color rgb="FF000000"/>
      <name val="Calibri"/>
      <family val="2"/>
    </font>
    <font>
      <sz val="10"/>
      <color rgb="FF000000"/>
      <name val="Calibri"/>
      <family val="2"/>
    </font>
    <font>
      <b val="true"/>
      <sz val="10"/>
      <color rgb="FFFFFFFF"/>
      <name val="Arial"/>
      <family val="0"/>
      <charset val="1"/>
    </font>
    <font>
      <b val="true"/>
      <sz val="14"/>
      <color rgb="FF0079C1"/>
      <name val="Arial"/>
      <family val="0"/>
      <charset val="1"/>
    </font>
    <font>
      <i val="true"/>
      <sz val="9"/>
      <color rgb="FF000000"/>
      <name val="Arial"/>
      <family val="0"/>
      <charset val="1"/>
    </font>
    <font>
      <sz val="10"/>
      <color rgb="FF000000"/>
      <name val="Arial"/>
      <family val="0"/>
      <charset val="1"/>
    </font>
  </fonts>
  <fills count="5">
    <fill>
      <patternFill patternType="none"/>
    </fill>
    <fill>
      <patternFill patternType="gray125"/>
    </fill>
    <fill>
      <patternFill patternType="solid">
        <fgColor rgb="FF0079C1"/>
        <bgColor rgb="FF008080"/>
      </patternFill>
    </fill>
    <fill>
      <patternFill patternType="solid">
        <fgColor rgb="FFFFF6DE"/>
        <bgColor rgb="FFF9F9F9"/>
      </patternFill>
    </fill>
    <fill>
      <patternFill patternType="solid">
        <fgColor rgb="FFF2F7FB"/>
        <bgColor rgb="FFF9F9F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18" fillId="2" borderId="1" xfId="0" applyFont="true" applyBorder="true" applyAlignment="true" applyProtection="false">
      <alignment horizontal="general" vertical="center"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0079C1"/>
          <bgColor rgb="FF000000"/>
        </patternFill>
      </fill>
    </dxf>
    <dxf>
      <fill>
        <patternFill patternType="solid">
          <fgColor rgb="FFF2F7F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DE"/>
          <bgColor rgb="FF000000"/>
        </patternFill>
      </fill>
    </dxf>
    <dxf>
      <fill>
        <patternFill>
          <bgColor rgb="FFC6EFCE"/>
        </patternFill>
      </fill>
    </dxf>
    <dxf>
      <fill>
        <patternFill>
          <bgColor rgb="FFA9D08E"/>
        </patternFill>
      </fill>
    </dxf>
    <dxf>
      <fill>
        <patternFill>
          <bgColor rgb="FFD9D9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08E"/>
      <rgbColor rgb="FF878787"/>
      <rgbColor rgb="FF9999FF"/>
      <rgbColor rgb="FF993366"/>
      <rgbColor rgb="FFFFF6DE"/>
      <rgbColor rgb="FFF2F7FB"/>
      <rgbColor rgb="FF660066"/>
      <rgbColor rgb="FFFF8080"/>
      <rgbColor rgb="FF0079C1"/>
      <rgbColor rgb="FFD9D9D9"/>
      <rgbColor rgb="FF000080"/>
      <rgbColor rgb="FFFF00FF"/>
      <rgbColor rgb="FFFFFF00"/>
      <rgbColor rgb="FF00FFFF"/>
      <rgbColor rgb="FF800080"/>
      <rgbColor rgb="FF800000"/>
      <rgbColor rgb="FF008080"/>
      <rgbColor rgb="FF0000FF"/>
      <rgbColor rgb="FF00CCFF"/>
      <rgbColor rgb="FFF9F9F9"/>
      <rgbColor rgb="FFC6EFCE"/>
      <rgbColor rgb="FFFFFF99"/>
      <rgbColor rgb="FF99CCFF"/>
      <rgbColor rgb="FFFF99CC"/>
      <rgbColor rgb="FFCC99FF"/>
      <rgbColor rgb="FFFFCC99"/>
      <rgbColor rgb="FF4F81BD"/>
      <rgbColor rgb="FF33CCCC"/>
      <rgbColor rgb="FF99CC00"/>
      <rgbColor rgb="FFFFCC00"/>
      <rgbColor rgb="FFC49F06"/>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Pipeline by Status</a:t>
            </a:r>
          </a:p>
        </c:rich>
      </c:tx>
      <c:overlay val="0"/>
      <c:spPr>
        <a:noFill/>
        <a:ln w="0">
          <a:noFill/>
        </a:ln>
      </c:spPr>
    </c:title>
    <c:autoTitleDeleted val="0"/>
    <c:plotArea>
      <c:barChart>
        <c:barDir val="bar"/>
        <c:grouping val="clustered"/>
        <c:varyColors val="0"/>
        <c:ser>
          <c:idx val="0"/>
          <c:order val="0"/>
          <c:tx>
            <c:strRef>
              <c:f>Dashboard!C12</c:f>
              <c:strCache>
                <c:ptCount val="1"/>
                <c:pt idx="0">
                  <c:v>Count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Dashboard!$B$13:$B$20</c:f>
              <c:strCache>
                <c:ptCount val="8"/>
                <c:pt idx="0">
                  <c:v>Not Started</c:v>
                </c:pt>
                <c:pt idx="1">
                  <c:v>Outreach Sent</c:v>
                </c:pt>
                <c:pt idx="2">
                  <c:v>In Scheduling</c:v>
                </c:pt>
                <c:pt idx="3">
                  <c:v>Scheduled</c:v>
                </c:pt>
                <c:pt idx="4">
                  <c:v>Presented</c:v>
                </c:pt>
                <c:pt idx="5">
                  <c:v>Follow-Up</c:v>
                </c:pt>
                <c:pt idx="6">
                  <c:v>Declined</c:v>
                </c:pt>
                <c:pt idx="7">
                  <c:v>Dormant</c:v>
                </c:pt>
              </c:strCache>
            </c:strRef>
          </c:cat>
          <c:val>
            <c:numRef>
              <c:f>Dashboard!$C$13:$C$20</c:f>
              <c:numCache>
                <c:formatCode>General</c:formatCode>
                <c:ptCount val="8"/>
                <c:pt idx="0">
                  <c:v>125</c:v>
                </c:pt>
                <c:pt idx="1">
                  <c:v>0</c:v>
                </c:pt>
                <c:pt idx="2">
                  <c:v>1</c:v>
                </c:pt>
                <c:pt idx="3">
                  <c:v>0</c:v>
                </c:pt>
                <c:pt idx="4">
                  <c:v>0</c:v>
                </c:pt>
                <c:pt idx="5">
                  <c:v>0</c:v>
                </c:pt>
                <c:pt idx="6">
                  <c:v>0</c:v>
                </c:pt>
                <c:pt idx="7">
                  <c:v>0</c:v>
                </c:pt>
              </c:numCache>
            </c:numRef>
          </c:val>
        </c:ser>
        <c:gapWidth val="150"/>
        <c:overlap val="0"/>
        <c:axId val="3090451"/>
        <c:axId val="24363378"/>
      </c:barChart>
      <c:catAx>
        <c:axId val="309045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363378"/>
        <c:crosses val="autoZero"/>
        <c:auto val="1"/>
        <c:lblAlgn val="ctr"/>
        <c:lblOffset val="100"/>
        <c:noMultiLvlLbl val="0"/>
      </c:catAx>
      <c:valAx>
        <c:axId val="24363378"/>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9045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9</xdr:row>
      <xdr:rowOff>41400</xdr:rowOff>
    </xdr:from>
    <xdr:to>
      <xdr:col>12</xdr:col>
      <xdr:colOff>119160</xdr:colOff>
      <xdr:row>25</xdr:row>
      <xdr:rowOff>52920</xdr:rowOff>
    </xdr:to>
    <xdr:graphicFrame>
      <xdr:nvGraphicFramePr>
        <xdr:cNvPr id="0" name="Chart 1"/>
        <xdr:cNvGraphicFramePr/>
      </xdr:nvGraphicFramePr>
      <xdr:xfrm>
        <a:off x="5427360" y="1905120"/>
        <a:ext cx="467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8" min="2" style="0" width="15"/>
    <col collapsed="false" customWidth="true" hidden="false" outlineLevel="0" max="14" min="14" style="0" width="20"/>
    <col collapsed="false" customWidth="true" hidden="false" outlineLevel="0" max="17" min="15" style="0" width="8"/>
  </cols>
  <sheetData>
    <row r="2" customFormat="false" ht="19.7" hidden="false" customHeight="false" outlineLevel="0" collapsed="false">
      <c r="B2" s="1" t="s">
        <v>0</v>
      </c>
      <c r="N2" s="2" t="s">
        <v>1</v>
      </c>
    </row>
    <row r="3" customFormat="false" ht="15" hidden="false" customHeight="false" outlineLevel="0" collapsed="false">
      <c r="B3" s="3" t="s">
        <v>2</v>
      </c>
      <c r="N3" s="4" t="s">
        <v>3</v>
      </c>
      <c r="O3" s="4" t="s">
        <v>4</v>
      </c>
      <c r="P3" s="4" t="s">
        <v>5</v>
      </c>
      <c r="Q3" s="4" t="s">
        <v>6</v>
      </c>
    </row>
    <row r="4" customFormat="false" ht="15" hidden="false" customHeight="false" outlineLevel="0" collapsed="false">
      <c r="N4" s="5" t="s">
        <v>7</v>
      </c>
      <c r="O4" s="6" t="n">
        <f aca="false">COUNTIF(Targets!$A$2:$A$1000,$N4)</f>
        <v>10</v>
      </c>
      <c r="P4" s="5" t="n">
        <f aca="false">COUNTIFS(Targets!$A$2:$A$1000,$N4,Targets!$I$2:$I$1000,"Tier 1")</f>
        <v>5</v>
      </c>
      <c r="Q4" s="5" t="n">
        <f aca="false">COUNTIFS(Targets!$A$2:$A$1000,$N4,Targets!$L$2:$L$1000,"Scheduled")+COUNTIFS(Targets!$A$2:$A$1000,$N4,Targets!$L$2:$L$1000,"Presented")</f>
        <v>0</v>
      </c>
    </row>
    <row r="5" customFormat="false" ht="15" hidden="false" customHeight="false" outlineLevel="0" collapsed="false">
      <c r="B5" s="7" t="s">
        <v>8</v>
      </c>
      <c r="C5" s="7" t="s">
        <v>5</v>
      </c>
      <c r="D5" s="7" t="s">
        <v>9</v>
      </c>
      <c r="E5" s="7" t="s">
        <v>10</v>
      </c>
      <c r="F5" s="7" t="s">
        <v>11</v>
      </c>
      <c r="G5" s="7" t="s">
        <v>12</v>
      </c>
      <c r="H5" s="7" t="s">
        <v>13</v>
      </c>
      <c r="N5" s="5" t="s">
        <v>14</v>
      </c>
      <c r="O5" s="6" t="n">
        <f aca="false">COUNTIF(Targets!$A$2:$A$1000,$N5)</f>
        <v>9</v>
      </c>
      <c r="P5" s="5" t="n">
        <f aca="false">COUNTIFS(Targets!$A$2:$A$1000,$N5,Targets!$I$2:$I$1000,"Tier 1")</f>
        <v>1</v>
      </c>
      <c r="Q5" s="5" t="n">
        <f aca="false">COUNTIFS(Targets!$A$2:$A$1000,$N5,Targets!$L$2:$L$1000,"Scheduled")+COUNTIFS(Targets!$A$2:$A$1000,$N5,Targets!$L$2:$L$1000,"Presented")</f>
        <v>0</v>
      </c>
    </row>
    <row r="6" customFormat="false" ht="22.05" hidden="false" customHeight="false" outlineLevel="0" collapsed="false">
      <c r="B6" s="8" t="n">
        <f aca="false">COUNTA(Targets!$B$2:$B$1000)</f>
        <v>126</v>
      </c>
      <c r="C6" s="8" t="n">
        <f aca="false">COUNTIF(Targets!$I$2:$I$1000,"Tier 1")</f>
        <v>54</v>
      </c>
      <c r="D6" s="8" t="n">
        <f aca="false">COUNTIF(Targets!$L$2:$L$1000,"Not Started")</f>
        <v>125</v>
      </c>
      <c r="E6" s="8" t="n">
        <f aca="false">COUNTIF(Targets!$L$2:$L$1000,"Outreach Sent")+COUNTIF(Targets!$L$2:$L$1000,"In Scheduling")</f>
        <v>1</v>
      </c>
      <c r="F6" s="8" t="n">
        <f aca="false">COUNTIF(Targets!$L$2:$L$1000,"Scheduled")</f>
        <v>0</v>
      </c>
      <c r="G6" s="8" t="n">
        <f aca="false">COUNTIF(Targets!$L$2:$L$1000,"Presented")</f>
        <v>0</v>
      </c>
      <c r="H6" s="9" t="n">
        <f aca="false">IFERROR((F6+G6)/MAX(1,B6-D6),0)</f>
        <v>0</v>
      </c>
      <c r="N6" s="5" t="s">
        <v>15</v>
      </c>
      <c r="O6" s="6" t="n">
        <f aca="false">COUNTIF(Targets!$A$2:$A$1000,$N6)</f>
        <v>8</v>
      </c>
      <c r="P6" s="5" t="n">
        <f aca="false">COUNTIFS(Targets!$A$2:$A$1000,$N6,Targets!$I$2:$I$1000,"Tier 1")</f>
        <v>6</v>
      </c>
      <c r="Q6" s="5" t="n">
        <f aca="false">COUNTIFS(Targets!$A$2:$A$1000,$N6,Targets!$L$2:$L$1000,"Scheduled")+COUNTIFS(Targets!$A$2:$A$1000,$N6,Targets!$L$2:$L$1000,"Presented")</f>
        <v>0</v>
      </c>
    </row>
    <row r="7" customFormat="false" ht="15" hidden="false" customHeight="false" outlineLevel="0" collapsed="false">
      <c r="N7" s="5" t="s">
        <v>16</v>
      </c>
      <c r="O7" s="6" t="n">
        <f aca="false">COUNTIF(Targets!$A$2:$A$1000,$N7)</f>
        <v>8</v>
      </c>
      <c r="P7" s="5" t="n">
        <f aca="false">COUNTIFS(Targets!$A$2:$A$1000,$N7,Targets!$I$2:$I$1000,"Tier 1")</f>
        <v>2</v>
      </c>
      <c r="Q7" s="5" t="n">
        <f aca="false">COUNTIFS(Targets!$A$2:$A$1000,$N7,Targets!$L$2:$L$1000,"Scheduled")+COUNTIFS(Targets!$A$2:$A$1000,$N7,Targets!$L$2:$L$1000,"Presented")</f>
        <v>0</v>
      </c>
    </row>
    <row r="8" customFormat="false" ht="15" hidden="false" customHeight="false" outlineLevel="0" collapsed="false">
      <c r="B8" s="10" t="s">
        <v>17</v>
      </c>
      <c r="C8" s="11" t="n">
        <v>12</v>
      </c>
      <c r="D8" s="10" t="s">
        <v>18</v>
      </c>
      <c r="E8" s="12" t="n">
        <f aca="false">MIN(1,(F6+G6)/MAX(1,C8))</f>
        <v>0</v>
      </c>
      <c r="F8" s="13" t="s">
        <v>19</v>
      </c>
      <c r="N8" s="5" t="s">
        <v>20</v>
      </c>
      <c r="O8" s="6" t="n">
        <f aca="false">COUNTIF(Targets!$A$2:$A$1000,$N8)</f>
        <v>6</v>
      </c>
      <c r="P8" s="5" t="n">
        <f aca="false">COUNTIFS(Targets!$A$2:$A$1000,$N8,Targets!$I$2:$I$1000,"Tier 1")</f>
        <v>3</v>
      </c>
      <c r="Q8" s="5" t="n">
        <f aca="false">COUNTIFS(Targets!$A$2:$A$1000,$N8,Targets!$L$2:$L$1000,"Scheduled")+COUNTIFS(Targets!$A$2:$A$1000,$N8,Targets!$L$2:$L$1000,"Presented")</f>
        <v>0</v>
      </c>
    </row>
    <row r="9" customFormat="false" ht="15" hidden="false" customHeight="false" outlineLevel="0" collapsed="false">
      <c r="N9" s="5" t="s">
        <v>21</v>
      </c>
      <c r="O9" s="6" t="n">
        <f aca="false">COUNTIF(Targets!$A$2:$A$1000,$N9)</f>
        <v>6</v>
      </c>
      <c r="P9" s="5" t="n">
        <f aca="false">COUNTIFS(Targets!$A$2:$A$1000,$N9,Targets!$I$2:$I$1000,"Tier 1")</f>
        <v>4</v>
      </c>
      <c r="Q9" s="5" t="n">
        <f aca="false">COUNTIFS(Targets!$A$2:$A$1000,$N9,Targets!$L$2:$L$1000,"Scheduled")+COUNTIFS(Targets!$A$2:$A$1000,$N9,Targets!$L$2:$L$1000,"Presented")</f>
        <v>0</v>
      </c>
    </row>
    <row r="10" customFormat="false" ht="15" hidden="false" customHeight="false" outlineLevel="0" collapsed="false">
      <c r="N10" s="5" t="s">
        <v>22</v>
      </c>
      <c r="O10" s="6" t="n">
        <f aca="false">COUNTIF(Targets!$A$2:$A$1000,$N10)</f>
        <v>6</v>
      </c>
      <c r="P10" s="5" t="n">
        <f aca="false">COUNTIFS(Targets!$A$2:$A$1000,$N10,Targets!$I$2:$I$1000,"Tier 1")</f>
        <v>2</v>
      </c>
      <c r="Q10" s="5" t="n">
        <f aca="false">COUNTIFS(Targets!$A$2:$A$1000,$N10,Targets!$L$2:$L$1000,"Scheduled")+COUNTIFS(Targets!$A$2:$A$1000,$N10,Targets!$L$2:$L$1000,"Presented")</f>
        <v>0</v>
      </c>
    </row>
    <row r="11" customFormat="false" ht="15" hidden="false" customHeight="false" outlineLevel="0" collapsed="false">
      <c r="B11" s="2" t="s">
        <v>23</v>
      </c>
      <c r="N11" s="5" t="s">
        <v>24</v>
      </c>
      <c r="O11" s="6" t="n">
        <f aca="false">COUNTIF(Targets!$A$2:$A$1000,$N11)</f>
        <v>6</v>
      </c>
      <c r="P11" s="5" t="n">
        <f aca="false">COUNTIFS(Targets!$A$2:$A$1000,$N11,Targets!$I$2:$I$1000,"Tier 1")</f>
        <v>2</v>
      </c>
      <c r="Q11" s="5" t="n">
        <f aca="false">COUNTIFS(Targets!$A$2:$A$1000,$N11,Targets!$L$2:$L$1000,"Scheduled")+COUNTIFS(Targets!$A$2:$A$1000,$N11,Targets!$L$2:$L$1000,"Presented")</f>
        <v>0</v>
      </c>
    </row>
    <row r="12" customFormat="false" ht="15" hidden="false" customHeight="false" outlineLevel="0" collapsed="false">
      <c r="B12" s="4" t="s">
        <v>25</v>
      </c>
      <c r="C12" s="4" t="s">
        <v>26</v>
      </c>
      <c r="D12" s="4" t="s">
        <v>27</v>
      </c>
      <c r="N12" s="5" t="s">
        <v>28</v>
      </c>
      <c r="O12" s="6" t="n">
        <f aca="false">COUNTIF(Targets!$A$2:$A$1000,$N12)</f>
        <v>6</v>
      </c>
      <c r="P12" s="5" t="n">
        <f aca="false">COUNTIFS(Targets!$A$2:$A$1000,$N12,Targets!$I$2:$I$1000,"Tier 1")</f>
        <v>1</v>
      </c>
      <c r="Q12" s="5" t="n">
        <f aca="false">COUNTIFS(Targets!$A$2:$A$1000,$N12,Targets!$L$2:$L$1000,"Scheduled")+COUNTIFS(Targets!$A$2:$A$1000,$N12,Targets!$L$2:$L$1000,"Presented")</f>
        <v>0</v>
      </c>
    </row>
    <row r="13" customFormat="false" ht="15" hidden="false" customHeight="false" outlineLevel="0" collapsed="false">
      <c r="B13" s="5" t="s">
        <v>9</v>
      </c>
      <c r="C13" s="6" t="n">
        <f aca="false">COUNTIF(Targets!$L$2:$L$1000,"Not Started")</f>
        <v>125</v>
      </c>
      <c r="D13" s="14" t="n">
        <f aca="false">IFERROR(C13/MAX(1,$B$6),0)</f>
        <v>0.992063492063492</v>
      </c>
      <c r="N13" s="5" t="s">
        <v>29</v>
      </c>
      <c r="O13" s="6" t="n">
        <f aca="false">COUNTIF(Targets!$A$2:$A$1000,$N13)</f>
        <v>6</v>
      </c>
      <c r="P13" s="5" t="n">
        <f aca="false">COUNTIFS(Targets!$A$2:$A$1000,$N13,Targets!$I$2:$I$1000,"Tier 1")</f>
        <v>4</v>
      </c>
      <c r="Q13" s="5" t="n">
        <f aca="false">COUNTIFS(Targets!$A$2:$A$1000,$N13,Targets!$L$2:$L$1000,"Scheduled")+COUNTIFS(Targets!$A$2:$A$1000,$N13,Targets!$L$2:$L$1000,"Presented")</f>
        <v>0</v>
      </c>
    </row>
    <row r="14" customFormat="false" ht="15" hidden="false" customHeight="false" outlineLevel="0" collapsed="false">
      <c r="B14" s="5" t="s">
        <v>30</v>
      </c>
      <c r="C14" s="6" t="n">
        <f aca="false">COUNTIF(Targets!$L$2:$L$1000,"Outreach Sent")</f>
        <v>0</v>
      </c>
      <c r="D14" s="14" t="n">
        <f aca="false">IFERROR(C14/MAX(1,$B$6),0)</f>
        <v>0</v>
      </c>
      <c r="N14" s="5" t="s">
        <v>31</v>
      </c>
      <c r="O14" s="6" t="n">
        <f aca="false">COUNTIF(Targets!$A$2:$A$1000,$N14)</f>
        <v>5</v>
      </c>
      <c r="P14" s="5" t="n">
        <f aca="false">COUNTIFS(Targets!$A$2:$A$1000,$N14,Targets!$I$2:$I$1000,"Tier 1")</f>
        <v>2</v>
      </c>
      <c r="Q14" s="5" t="n">
        <f aca="false">COUNTIFS(Targets!$A$2:$A$1000,$N14,Targets!$L$2:$L$1000,"Scheduled")+COUNTIFS(Targets!$A$2:$A$1000,$N14,Targets!$L$2:$L$1000,"Presented")</f>
        <v>0</v>
      </c>
    </row>
    <row r="15" customFormat="false" ht="15" hidden="false" customHeight="false" outlineLevel="0" collapsed="false">
      <c r="B15" s="5" t="s">
        <v>32</v>
      </c>
      <c r="C15" s="6" t="n">
        <f aca="false">COUNTIF(Targets!$L$2:$L$1000,"In Scheduling")</f>
        <v>1</v>
      </c>
      <c r="D15" s="14" t="n">
        <f aca="false">IFERROR(C15/MAX(1,$B$6),0)</f>
        <v>0.00793650793650794</v>
      </c>
      <c r="N15" s="5" t="s">
        <v>33</v>
      </c>
      <c r="O15" s="6" t="n">
        <f aca="false">COUNTIF(Targets!$A$2:$A$1000,$N15)</f>
        <v>4</v>
      </c>
      <c r="P15" s="5" t="n">
        <f aca="false">COUNTIFS(Targets!$A$2:$A$1000,$N15,Targets!$I$2:$I$1000,"Tier 1")</f>
        <v>1</v>
      </c>
      <c r="Q15" s="5" t="n">
        <f aca="false">COUNTIFS(Targets!$A$2:$A$1000,$N15,Targets!$L$2:$L$1000,"Scheduled")+COUNTIFS(Targets!$A$2:$A$1000,$N15,Targets!$L$2:$L$1000,"Presented")</f>
        <v>0</v>
      </c>
    </row>
    <row r="16" customFormat="false" ht="15" hidden="false" customHeight="false" outlineLevel="0" collapsed="false">
      <c r="B16" s="5" t="s">
        <v>11</v>
      </c>
      <c r="C16" s="6" t="n">
        <f aca="false">COUNTIF(Targets!$L$2:$L$1000,"Scheduled")</f>
        <v>0</v>
      </c>
      <c r="D16" s="14" t="n">
        <f aca="false">IFERROR(C16/MAX(1,$B$6),0)</f>
        <v>0</v>
      </c>
      <c r="N16" s="5" t="s">
        <v>34</v>
      </c>
      <c r="O16" s="6" t="n">
        <f aca="false">COUNTIF(Targets!$A$2:$A$1000,$N16)</f>
        <v>3</v>
      </c>
      <c r="P16" s="5" t="n">
        <f aca="false">COUNTIFS(Targets!$A$2:$A$1000,$N16,Targets!$I$2:$I$1000,"Tier 1")</f>
        <v>1</v>
      </c>
      <c r="Q16" s="5" t="n">
        <f aca="false">COUNTIFS(Targets!$A$2:$A$1000,$N16,Targets!$L$2:$L$1000,"Scheduled")+COUNTIFS(Targets!$A$2:$A$1000,$N16,Targets!$L$2:$L$1000,"Presented")</f>
        <v>0</v>
      </c>
    </row>
    <row r="17" customFormat="false" ht="15" hidden="false" customHeight="false" outlineLevel="0" collapsed="false">
      <c r="B17" s="5" t="s">
        <v>12</v>
      </c>
      <c r="C17" s="6" t="n">
        <f aca="false">COUNTIF(Targets!$L$2:$L$1000,"Presented")</f>
        <v>0</v>
      </c>
      <c r="D17" s="14" t="n">
        <f aca="false">IFERROR(C17/MAX(1,$B$6),0)</f>
        <v>0</v>
      </c>
      <c r="N17" s="5" t="s">
        <v>35</v>
      </c>
      <c r="O17" s="6" t="n">
        <f aca="false">COUNTIF(Targets!$A$2:$A$1000,$N17)</f>
        <v>3</v>
      </c>
      <c r="P17" s="5" t="n">
        <f aca="false">COUNTIFS(Targets!$A$2:$A$1000,$N17,Targets!$I$2:$I$1000,"Tier 1")</f>
        <v>2</v>
      </c>
      <c r="Q17" s="5" t="n">
        <f aca="false">COUNTIFS(Targets!$A$2:$A$1000,$N17,Targets!$L$2:$L$1000,"Scheduled")+COUNTIFS(Targets!$A$2:$A$1000,$N17,Targets!$L$2:$L$1000,"Presented")</f>
        <v>0</v>
      </c>
    </row>
    <row r="18" customFormat="false" ht="15" hidden="false" customHeight="false" outlineLevel="0" collapsed="false">
      <c r="B18" s="5" t="s">
        <v>36</v>
      </c>
      <c r="C18" s="6" t="n">
        <f aca="false">COUNTIF(Targets!$L$2:$L$1000,"Follow-Up")</f>
        <v>0</v>
      </c>
      <c r="D18" s="14" t="n">
        <f aca="false">IFERROR(C18/MAX(1,$B$6),0)</f>
        <v>0</v>
      </c>
      <c r="N18" s="5" t="s">
        <v>37</v>
      </c>
      <c r="O18" s="6" t="n">
        <f aca="false">COUNTIF(Targets!$A$2:$A$1000,$N18)</f>
        <v>3</v>
      </c>
      <c r="P18" s="5" t="n">
        <f aca="false">COUNTIFS(Targets!$A$2:$A$1000,$N18,Targets!$I$2:$I$1000,"Tier 1")</f>
        <v>2</v>
      </c>
      <c r="Q18" s="5" t="n">
        <f aca="false">COUNTIFS(Targets!$A$2:$A$1000,$N18,Targets!$L$2:$L$1000,"Scheduled")+COUNTIFS(Targets!$A$2:$A$1000,$N18,Targets!$L$2:$L$1000,"Presented")</f>
        <v>0</v>
      </c>
    </row>
    <row r="19" customFormat="false" ht="15" hidden="false" customHeight="false" outlineLevel="0" collapsed="false">
      <c r="B19" s="5" t="s">
        <v>38</v>
      </c>
      <c r="C19" s="6" t="n">
        <f aca="false">COUNTIF(Targets!$L$2:$L$1000,"Declined")</f>
        <v>0</v>
      </c>
      <c r="D19" s="14" t="n">
        <f aca="false">IFERROR(C19/MAX(1,$B$6),0)</f>
        <v>0</v>
      </c>
      <c r="N19" s="5" t="s">
        <v>39</v>
      </c>
      <c r="O19" s="6" t="n">
        <f aca="false">COUNTIF(Targets!$A$2:$A$1000,$N19)</f>
        <v>3</v>
      </c>
      <c r="P19" s="5" t="n">
        <f aca="false">COUNTIFS(Targets!$A$2:$A$1000,$N19,Targets!$I$2:$I$1000,"Tier 1")</f>
        <v>2</v>
      </c>
      <c r="Q19" s="5" t="n">
        <f aca="false">COUNTIFS(Targets!$A$2:$A$1000,$N19,Targets!$L$2:$L$1000,"Scheduled")+COUNTIFS(Targets!$A$2:$A$1000,$N19,Targets!$L$2:$L$1000,"Presented")</f>
        <v>0</v>
      </c>
    </row>
    <row r="20" customFormat="false" ht="15" hidden="false" customHeight="false" outlineLevel="0" collapsed="false">
      <c r="B20" s="5" t="s">
        <v>40</v>
      </c>
      <c r="C20" s="6" t="n">
        <f aca="false">COUNTIF(Targets!$L$2:$L$1000,"Dormant")</f>
        <v>0</v>
      </c>
      <c r="D20" s="14" t="n">
        <f aca="false">IFERROR(C20/MAX(1,$B$6),0)</f>
        <v>0</v>
      </c>
      <c r="N20" s="5" t="s">
        <v>41</v>
      </c>
      <c r="O20" s="6" t="n">
        <f aca="false">COUNTIF(Targets!$A$2:$A$1000,$N20)</f>
        <v>3</v>
      </c>
      <c r="P20" s="5" t="n">
        <f aca="false">COUNTIFS(Targets!$A$2:$A$1000,$N20,Targets!$I$2:$I$1000,"Tier 1")</f>
        <v>2</v>
      </c>
      <c r="Q20" s="5" t="n">
        <f aca="false">COUNTIFS(Targets!$A$2:$A$1000,$N20,Targets!$L$2:$L$1000,"Scheduled")+COUNTIFS(Targets!$A$2:$A$1000,$N20,Targets!$L$2:$L$1000,"Presented")</f>
        <v>0</v>
      </c>
    </row>
    <row r="21" customFormat="false" ht="15" hidden="false" customHeight="false" outlineLevel="0" collapsed="false">
      <c r="N21" s="5" t="s">
        <v>42</v>
      </c>
      <c r="O21" s="6" t="n">
        <f aca="false">COUNTIF(Targets!$A$2:$A$1000,$N21)</f>
        <v>3</v>
      </c>
      <c r="P21" s="5" t="n">
        <f aca="false">COUNTIFS(Targets!$A$2:$A$1000,$N21,Targets!$I$2:$I$1000,"Tier 1")</f>
        <v>1</v>
      </c>
      <c r="Q21" s="5" t="n">
        <f aca="false">COUNTIFS(Targets!$A$2:$A$1000,$N21,Targets!$L$2:$L$1000,"Scheduled")+COUNTIFS(Targets!$A$2:$A$1000,$N21,Targets!$L$2:$L$1000,"Presented")</f>
        <v>0</v>
      </c>
    </row>
    <row r="22" customFormat="false" ht="15" hidden="false" customHeight="false" outlineLevel="0" collapsed="false">
      <c r="N22" s="5" t="s">
        <v>43</v>
      </c>
      <c r="O22" s="6" t="n">
        <f aca="false">COUNTIF(Targets!$A$2:$A$1000,$N22)</f>
        <v>3</v>
      </c>
      <c r="P22" s="5" t="n">
        <f aca="false">COUNTIFS(Targets!$A$2:$A$1000,$N22,Targets!$I$2:$I$1000,"Tier 1")</f>
        <v>2</v>
      </c>
      <c r="Q22" s="5" t="n">
        <f aca="false">COUNTIFS(Targets!$A$2:$A$1000,$N22,Targets!$L$2:$L$1000,"Scheduled")+COUNTIFS(Targets!$A$2:$A$1000,$N22,Targets!$L$2:$L$1000,"Presented")</f>
        <v>0</v>
      </c>
    </row>
    <row r="23" customFormat="false" ht="15" hidden="false" customHeight="false" outlineLevel="0" collapsed="false">
      <c r="B23" s="2" t="s">
        <v>44</v>
      </c>
      <c r="N23" s="5" t="s">
        <v>45</v>
      </c>
      <c r="O23" s="6" t="n">
        <f aca="false">COUNTIF(Targets!$A$2:$A$1000,$N23)</f>
        <v>3</v>
      </c>
      <c r="P23" s="5" t="n">
        <f aca="false">COUNTIFS(Targets!$A$2:$A$1000,$N23,Targets!$I$2:$I$1000,"Tier 1")</f>
        <v>1</v>
      </c>
      <c r="Q23" s="5" t="n">
        <f aca="false">COUNTIFS(Targets!$A$2:$A$1000,$N23,Targets!$L$2:$L$1000,"Scheduled")+COUNTIFS(Targets!$A$2:$A$1000,$N23,Targets!$L$2:$L$1000,"Presented")</f>
        <v>0</v>
      </c>
    </row>
    <row r="24" customFormat="false" ht="15" hidden="false" customHeight="false" outlineLevel="0" collapsed="false">
      <c r="B24" s="4" t="s">
        <v>46</v>
      </c>
      <c r="C24" s="4" t="s">
        <v>4</v>
      </c>
      <c r="D24" s="4" t="s">
        <v>6</v>
      </c>
      <c r="N24" s="5" t="s">
        <v>47</v>
      </c>
      <c r="O24" s="6" t="n">
        <f aca="false">COUNTIF(Targets!$A$2:$A$1000,$N24)</f>
        <v>2</v>
      </c>
      <c r="P24" s="5" t="n">
        <f aca="false">COUNTIFS(Targets!$A$2:$A$1000,$N24,Targets!$I$2:$I$1000,"Tier 1")</f>
        <v>0</v>
      </c>
      <c r="Q24" s="5" t="n">
        <f aca="false">COUNTIFS(Targets!$A$2:$A$1000,$N24,Targets!$L$2:$L$1000,"Scheduled")+COUNTIFS(Targets!$A$2:$A$1000,$N24,Targets!$L$2:$L$1000,"Presented")</f>
        <v>0</v>
      </c>
    </row>
    <row r="25" customFormat="false" ht="15" hidden="false" customHeight="false" outlineLevel="0" collapsed="false">
      <c r="B25" s="5" t="s">
        <v>5</v>
      </c>
      <c r="C25" s="6" t="n">
        <f aca="false">COUNTIF(Targets!$I$2:$I$1000,"Tier 1")</f>
        <v>54</v>
      </c>
      <c r="D25" s="5" t="n">
        <f aca="false">COUNTIFS(Targets!$I$2:$I$1000,"Tier 1",Targets!$L$2:$L$1000,"Scheduled")+COUNTIFS(Targets!$I$2:$I$1000,"Tier 1",Targets!$L$2:$L$1000,"Presented")</f>
        <v>0</v>
      </c>
      <c r="N25" s="5" t="s">
        <v>48</v>
      </c>
      <c r="O25" s="6" t="n">
        <f aca="false">COUNTIF(Targets!$A$2:$A$1000,$N25)</f>
        <v>2</v>
      </c>
      <c r="P25" s="5" t="n">
        <f aca="false">COUNTIFS(Targets!$A$2:$A$1000,$N25,Targets!$I$2:$I$1000,"Tier 1")</f>
        <v>1</v>
      </c>
      <c r="Q25" s="5" t="n">
        <f aca="false">COUNTIFS(Targets!$A$2:$A$1000,$N25,Targets!$L$2:$L$1000,"Scheduled")+COUNTIFS(Targets!$A$2:$A$1000,$N25,Targets!$L$2:$L$1000,"Presented")</f>
        <v>0</v>
      </c>
    </row>
    <row r="26" customFormat="false" ht="15" hidden="false" customHeight="false" outlineLevel="0" collapsed="false">
      <c r="B26" s="5" t="s">
        <v>49</v>
      </c>
      <c r="C26" s="6" t="n">
        <f aca="false">COUNTIF(Targets!$I$2:$I$1000,"Tier 2")</f>
        <v>54</v>
      </c>
      <c r="D26" s="5" t="n">
        <f aca="false">COUNTIFS(Targets!$I$2:$I$1000,"Tier 2",Targets!$L$2:$L$1000,"Scheduled")+COUNTIFS(Targets!$I$2:$I$1000,"Tier 2",Targets!$L$2:$L$1000,"Presented")</f>
        <v>0</v>
      </c>
      <c r="N26" s="5" t="s">
        <v>50</v>
      </c>
      <c r="O26" s="6" t="n">
        <f aca="false">COUNTIF(Targets!$A$2:$A$1000,$N26)</f>
        <v>2</v>
      </c>
      <c r="P26" s="5" t="n">
        <f aca="false">COUNTIFS(Targets!$A$2:$A$1000,$N26,Targets!$I$2:$I$1000,"Tier 1")</f>
        <v>0</v>
      </c>
      <c r="Q26" s="5" t="n">
        <f aca="false">COUNTIFS(Targets!$A$2:$A$1000,$N26,Targets!$L$2:$L$1000,"Scheduled")+COUNTIFS(Targets!$A$2:$A$1000,$N26,Targets!$L$2:$L$1000,"Presented")</f>
        <v>0</v>
      </c>
    </row>
    <row r="27" customFormat="false" ht="15" hidden="false" customHeight="false" outlineLevel="0" collapsed="false">
      <c r="B27" s="5" t="s">
        <v>51</v>
      </c>
      <c r="C27" s="6" t="n">
        <f aca="false">COUNTIF(Targets!$I$2:$I$1000,"Tier 3")</f>
        <v>18</v>
      </c>
      <c r="D27" s="5" t="n">
        <f aca="false">COUNTIFS(Targets!$I$2:$I$1000,"Tier 3",Targets!$L$2:$L$1000,"Scheduled")+COUNTIFS(Targets!$I$2:$I$1000,"Tier 3",Targets!$L$2:$L$1000,"Presented")</f>
        <v>0</v>
      </c>
      <c r="N27" s="5" t="s">
        <v>52</v>
      </c>
      <c r="O27" s="6" t="n">
        <f aca="false">COUNTIF(Targets!$A$2:$A$1000,$N27)</f>
        <v>2</v>
      </c>
      <c r="P27" s="5" t="n">
        <f aca="false">COUNTIFS(Targets!$A$2:$A$1000,$N27,Targets!$I$2:$I$1000,"Tier 1")</f>
        <v>0</v>
      </c>
      <c r="Q27" s="5" t="n">
        <f aca="false">COUNTIFS(Targets!$A$2:$A$1000,$N27,Targets!$L$2:$L$1000,"Scheduled")+COUNTIFS(Targets!$A$2:$A$1000,$N27,Targets!$L$2:$L$1000,"Presented")</f>
        <v>0</v>
      </c>
    </row>
    <row r="28" customFormat="false" ht="15" hidden="false" customHeight="false" outlineLevel="0" collapsed="false">
      <c r="N28" s="5" t="s">
        <v>53</v>
      </c>
      <c r="O28" s="6" t="n">
        <f aca="false">COUNTIF(Targets!$A$2:$A$1000,$N28)</f>
        <v>2</v>
      </c>
      <c r="P28" s="5" t="n">
        <f aca="false">COUNTIFS(Targets!$A$2:$A$1000,$N28,Targets!$I$2:$I$1000,"Tier 1")</f>
        <v>2</v>
      </c>
      <c r="Q28" s="5" t="n">
        <f aca="false">COUNTIFS(Targets!$A$2:$A$1000,$N28,Targets!$L$2:$L$1000,"Scheduled")+COUNTIFS(Targets!$A$2:$A$1000,$N28,Targets!$L$2:$L$1000,"Presented")</f>
        <v>0</v>
      </c>
    </row>
    <row r="29" customFormat="false" ht="15" hidden="false" customHeight="false" outlineLevel="0" collapsed="false">
      <c r="N29" s="5" t="s">
        <v>54</v>
      </c>
      <c r="O29" s="6" t="n">
        <f aca="false">COUNTIF(Targets!$A$2:$A$1000,$N29)</f>
        <v>2</v>
      </c>
      <c r="P29" s="5" t="n">
        <f aca="false">COUNTIFS(Targets!$A$2:$A$1000,$N29,Targets!$I$2:$I$1000,"Tier 1")</f>
        <v>1</v>
      </c>
      <c r="Q29" s="5" t="n">
        <f aca="false">COUNTIFS(Targets!$A$2:$A$1000,$N29,Targets!$L$2:$L$1000,"Scheduled")+COUNTIFS(Targets!$A$2:$A$1000,$N29,Targets!$L$2:$L$1000,"Presented")</f>
        <v>0</v>
      </c>
    </row>
    <row r="30" customFormat="false" ht="15" hidden="false" customHeight="false" outlineLevel="0" collapsed="false">
      <c r="B30" s="2" t="s">
        <v>55</v>
      </c>
      <c r="N30" s="5" t="s">
        <v>56</v>
      </c>
      <c r="O30" s="6" t="n">
        <f aca="false">COUNTIF(Targets!$A$2:$A$1000,$N30)</f>
        <v>1</v>
      </c>
      <c r="P30" s="5" t="n">
        <f aca="false">COUNTIFS(Targets!$A$2:$A$1000,$N30,Targets!$I$2:$I$1000,"Tier 1")</f>
        <v>1</v>
      </c>
      <c r="Q30" s="5" t="n">
        <f aca="false">COUNTIFS(Targets!$A$2:$A$1000,$N30,Targets!$L$2:$L$1000,"Scheduled")+COUNTIFS(Targets!$A$2:$A$1000,$N30,Targets!$L$2:$L$1000,"Presented")</f>
        <v>0</v>
      </c>
    </row>
    <row r="31" customFormat="false" ht="15" hidden="false" customHeight="false" outlineLevel="0" collapsed="false">
      <c r="B31" s="4" t="s">
        <v>57</v>
      </c>
      <c r="C31" s="4" t="s">
        <v>4</v>
      </c>
      <c r="N31" s="5" t="s">
        <v>58</v>
      </c>
      <c r="O31" s="6" t="n">
        <f aca="false">COUNTIF(Targets!$A$2:$A$1000,$N31)</f>
        <v>1</v>
      </c>
      <c r="P31" s="5" t="n">
        <f aca="false">COUNTIFS(Targets!$A$2:$A$1000,$N31,Targets!$I$2:$I$1000,"Tier 1")</f>
        <v>1</v>
      </c>
      <c r="Q31" s="5" t="n">
        <f aca="false">COUNTIFS(Targets!$A$2:$A$1000,$N31,Targets!$L$2:$L$1000,"Scheduled")+COUNTIFS(Targets!$A$2:$A$1000,$N31,Targets!$L$2:$L$1000,"Presented")</f>
        <v>0</v>
      </c>
    </row>
    <row r="32" customFormat="false" ht="15" hidden="false" customHeight="false" outlineLevel="0" collapsed="false">
      <c r="B32" s="5" t="s">
        <v>59</v>
      </c>
      <c r="C32" s="6" t="n">
        <f aca="false">COUNTIF(Targets!$H$2:$H$1000,"FED")</f>
        <v>93</v>
      </c>
      <c r="N32" s="5" t="s">
        <v>60</v>
      </c>
      <c r="O32" s="6" t="n">
        <f aca="false">COUNTIF(Targets!$A$2:$A$1000,$N32)</f>
        <v>1</v>
      </c>
      <c r="P32" s="5" t="n">
        <f aca="false">COUNTIFS(Targets!$A$2:$A$1000,$N32,Targets!$I$2:$I$1000,"Tier 1")</f>
        <v>1</v>
      </c>
      <c r="Q32" s="5" t="n">
        <f aca="false">COUNTIFS(Targets!$A$2:$A$1000,$N32,Targets!$L$2:$L$1000,"Scheduled")+COUNTIFS(Targets!$A$2:$A$1000,$N32,Targets!$L$2:$L$1000,"Presented")</f>
        <v>0</v>
      </c>
    </row>
    <row r="33" customFormat="false" ht="15" hidden="false" customHeight="false" outlineLevel="0" collapsed="false">
      <c r="B33" s="5" t="s">
        <v>61</v>
      </c>
      <c r="C33" s="6" t="n">
        <f aca="false">COUNTIF(Targets!$H$2:$H$1000,"COR")</f>
        <v>18</v>
      </c>
      <c r="N33" s="5" t="s">
        <v>62</v>
      </c>
      <c r="O33" s="6" t="n">
        <f aca="false">COUNTIF(Targets!$A$2:$A$1000,$N33)</f>
        <v>1</v>
      </c>
      <c r="P33" s="5" t="n">
        <f aca="false">COUNTIFS(Targets!$A$2:$A$1000,$N33,Targets!$I$2:$I$1000,"Tier 1")</f>
        <v>0</v>
      </c>
      <c r="Q33" s="5" t="n">
        <f aca="false">COUNTIFS(Targets!$A$2:$A$1000,$N33,Targets!$L$2:$L$1000,"Scheduled")+COUNTIFS(Targets!$A$2:$A$1000,$N33,Targets!$L$2:$L$1000,"Presented")</f>
        <v>0</v>
      </c>
    </row>
    <row r="34" customFormat="false" ht="15" hidden="false" customHeight="false" outlineLevel="0" collapsed="false">
      <c r="B34" s="5" t="s">
        <v>63</v>
      </c>
      <c r="C34" s="6" t="n">
        <f aca="false">COUNTIF(Targets!$H$2:$H$1000,"FED+COR")</f>
        <v>15</v>
      </c>
      <c r="N34" s="5" t="s">
        <v>64</v>
      </c>
      <c r="O34" s="6" t="n">
        <f aca="false">COUNTIF(Targets!$A$2:$A$1000,$N34)</f>
        <v>1</v>
      </c>
      <c r="P34" s="5" t="n">
        <f aca="false">COUNTIFS(Targets!$A$2:$A$1000,$N34,Targets!$I$2:$I$1000,"Tier 1")</f>
        <v>1</v>
      </c>
      <c r="Q34" s="5" t="n">
        <f aca="false">COUNTIFS(Targets!$A$2:$A$1000,$N34,Targets!$L$2:$L$1000,"Scheduled")+COUNTIFS(Targets!$A$2:$A$1000,$N34,Targets!$L$2:$L$1000,"Presented")</f>
        <v>0</v>
      </c>
    </row>
    <row r="35" customFormat="false" ht="15" hidden="false" customHeight="false" outlineLevel="0" collapsed="false">
      <c r="N35" s="5" t="s">
        <v>65</v>
      </c>
      <c r="O35" s="6" t="n">
        <f aca="false">COUNTIF(Targets!$A$2:$A$1000,$N35)</f>
        <v>1</v>
      </c>
      <c r="P35" s="5" t="n">
        <f aca="false">COUNTIFS(Targets!$A$2:$A$1000,$N35,Targets!$I$2:$I$1000,"Tier 1")</f>
        <v>0</v>
      </c>
      <c r="Q35" s="5" t="n">
        <f aca="false">COUNTIFS(Targets!$A$2:$A$1000,$N35,Targets!$L$2:$L$1000,"Scheduled")+COUNTIFS(Targets!$A$2:$A$1000,$N35,Targets!$L$2:$L$1000,"Presented")</f>
        <v>0</v>
      </c>
    </row>
    <row r="36" customFormat="false" ht="15" hidden="false" customHeight="false" outlineLevel="0" collapsed="false">
      <c r="N36" s="5" t="s">
        <v>66</v>
      </c>
      <c r="O36" s="6" t="n">
        <f aca="false">COUNTIF(Targets!$A$2:$A$1000,$N36)</f>
        <v>1</v>
      </c>
      <c r="P36" s="5" t="n">
        <f aca="false">COUNTIFS(Targets!$A$2:$A$1000,$N36,Targets!$I$2:$I$1000,"Tier 1")</f>
        <v>0</v>
      </c>
      <c r="Q36" s="5" t="n">
        <f aca="false">COUNTIFS(Targets!$A$2:$A$1000,$N36,Targets!$L$2:$L$1000,"Scheduled")+COUNTIFS(Targets!$A$2:$A$1000,$N36,Targets!$L$2:$L$1000,"Presented")</f>
        <v>0</v>
      </c>
    </row>
    <row r="37" customFormat="false" ht="15" hidden="false" customHeight="false" outlineLevel="0" collapsed="false">
      <c r="N37" s="5" t="s">
        <v>67</v>
      </c>
      <c r="O37" s="6" t="n">
        <f aca="false">COUNTIF(Targets!$A$2:$A$1000,$N37)</f>
        <v>1</v>
      </c>
      <c r="P37" s="5" t="n">
        <f aca="false">COUNTIFS(Targets!$A$2:$A$1000,$N37,Targets!$I$2:$I$1000,"Tier 1")</f>
        <v>0</v>
      </c>
      <c r="Q37" s="5" t="n">
        <f aca="false">COUNTIFS(Targets!$A$2:$A$1000,$N37,Targets!$L$2:$L$1000,"Scheduled")+COUNTIFS(Targets!$A$2:$A$1000,$N37,Targets!$L$2:$L$1000,"Presented")</f>
        <v>0</v>
      </c>
    </row>
    <row r="38" customFormat="false" ht="15" hidden="false" customHeight="false" outlineLevel="0" collapsed="false">
      <c r="N38" s="5" t="s">
        <v>68</v>
      </c>
      <c r="O38" s="6" t="n">
        <f aca="false">COUNTIF(Targets!$A$2:$A$1000,$N38)</f>
        <v>1</v>
      </c>
      <c r="P38" s="5" t="n">
        <f aca="false">COUNTIFS(Targets!$A$2:$A$1000,$N38,Targets!$I$2:$I$1000,"Tier 1")</f>
        <v>0</v>
      </c>
      <c r="Q38" s="5" t="n">
        <f aca="false">COUNTIFS(Targets!$A$2:$A$1000,$N38,Targets!$L$2:$L$1000,"Scheduled")+COUNTIFS(Targets!$A$2:$A$1000,$N38,Targets!$L$2:$L$1000,"Presented")</f>
        <v>0</v>
      </c>
    </row>
    <row r="39" customFormat="false" ht="15" hidden="false" customHeight="false" outlineLevel="0" collapsed="false">
      <c r="N39" s="5" t="s">
        <v>69</v>
      </c>
      <c r="O39" s="6" t="n">
        <f aca="false">COUNTIF(Targets!$A$2:$A$1000,$N39)</f>
        <v>1</v>
      </c>
      <c r="P39" s="5" t="n">
        <f aca="false">COUNTIFS(Targets!$A$2:$A$1000,$N39,Targets!$I$2:$I$1000,"Tier 1")</f>
        <v>0</v>
      </c>
      <c r="Q39" s="5" t="n">
        <f aca="false">COUNTIFS(Targets!$A$2:$A$1000,$N39,Targets!$L$2:$L$1000,"Scheduled")+COUNTIFS(Targets!$A$2:$A$1000,$N39,Targets!$L$2:$L$1000,"Presented")</f>
        <v>0</v>
      </c>
    </row>
  </sheetData>
  <conditionalFormatting sqref="C13:C20">
    <cfRule type="dataBar" priority="2">
      <dataBar showValue="1" minLength="10" maxLength="90">
        <cfvo type="num" val="0"/>
        <cfvo type="num" val="60"/>
        <color rgb="FF0079C1"/>
      </dataBar>
      <extLst>
        <ext xmlns:x14="http://schemas.microsoft.com/office/spreadsheetml/2009/9/main" uri="{B025F937-C7B1-47D3-B67F-A62EFF666E3E}">
          <x14:id>{9C6DCF53-A1E7-434D-AE33-26C0A6AF40ED}</x14:id>
        </ext>
      </extLst>
    </cfRule>
  </conditionalFormatting>
  <conditionalFormatting sqref="O4:O39">
    <cfRule type="dataBar" priority="3">
      <dataBar showValue="1" minLength="10" maxLength="90">
        <cfvo type="num" val="0"/>
        <cfvo type="num" val="12"/>
        <color rgb="FFC49F06"/>
      </dataBar>
      <extLst>
        <ext xmlns:x14="http://schemas.microsoft.com/office/spreadsheetml/2009/9/main" uri="{B025F937-C7B1-47D3-B67F-A62EFF666E3E}">
          <x14:id>{4C6FAD9D-66EB-4323-BA2E-90F17AE7C1E7}</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9C6DCF53-A1E7-434D-AE33-26C0A6AF40ED}">
            <x14:dataBar minLength="10" maxLength="90" axisPosition="none" gradient="true">
              <x14:cfvo type="num">
                <xm:f>0</xm:f>
              </x14:cfvo>
              <x14:cfvo type="num">
                <xm:f>60</xm:f>
              </x14:cfvo>
              <x14:negativeFillColor rgb="FF0079C1"/>
              <x14:axisColor rgb="FF000000"/>
            </x14:dataBar>
          </x14:cfRule>
          <xm:sqref>C13:C20</xm:sqref>
        </x14:conditionalFormatting>
        <x14:conditionalFormatting xmlns:xm="http://schemas.microsoft.com/office/excel/2006/main">
          <x14:cfRule type="dataBar" id="{4C6FAD9D-66EB-4323-BA2E-90F17AE7C1E7}">
            <x14:dataBar minLength="10" maxLength="90" axisPosition="none" gradient="true">
              <x14:cfvo type="num">
                <xm:f>0</xm:f>
              </x14:cfvo>
              <x14:cfvo type="num">
                <xm:f>12</xm:f>
              </x14:cfvo>
              <x14:negativeFillColor rgb="FFC49F06"/>
              <x14:axisColor rgb="FF000000"/>
            </x14:dataBar>
          </x14:cfRule>
          <xm:sqref>O4:O39</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4" min="3" style="0" width="22"/>
    <col collapsed="false" customWidth="true" hidden="false" outlineLevel="0" max="5" min="5" style="0" width="20"/>
    <col collapsed="false" customWidth="true" hidden="false" outlineLevel="0" max="6" min="6" style="0" width="30"/>
    <col collapsed="false" customWidth="true" hidden="false" outlineLevel="0" max="7" min="7" style="0" width="36"/>
    <col collapsed="false" customWidth="true" hidden="false" outlineLevel="0" max="8" min="8" style="0" width="10"/>
    <col collapsed="false" customWidth="true" hidden="false" outlineLevel="0" max="9" min="9" style="0" width="9"/>
    <col collapsed="false" customWidth="true" hidden="false" outlineLevel="0" max="10" min="10" style="0" width="54"/>
    <col collapsed="false" customWidth="true" hidden="false" outlineLevel="0" max="11" min="11" style="0" width="20"/>
    <col collapsed="false" customWidth="true" hidden="false" outlineLevel="0" max="12" min="12" style="0" width="14"/>
    <col collapsed="false" customWidth="true" hidden="false" outlineLevel="0" max="13" min="13" style="0" width="13"/>
    <col collapsed="false" customWidth="true" hidden="false" outlineLevel="0" max="16" min="14" style="0" width="18"/>
    <col collapsed="false" customWidth="true" hidden="false" outlineLevel="0" max="17" min="17" style="0" width="22"/>
    <col collapsed="false" customWidth="true" hidden="false" outlineLevel="0" max="19" min="18" style="0" width="12"/>
    <col collapsed="false" customWidth="true" hidden="false" outlineLevel="0" max="20" min="20" style="0" width="24"/>
    <col collapsed="false" customWidth="true" hidden="false" outlineLevel="0" max="21" min="21" style="0" width="28"/>
  </cols>
  <sheetData>
    <row r="1" customFormat="false" ht="30" hidden="false" customHeight="true" outlineLevel="0" collapsed="false">
      <c r="A1" s="15" t="s">
        <v>70</v>
      </c>
      <c r="B1" s="15" t="s">
        <v>71</v>
      </c>
      <c r="C1" s="15" t="s">
        <v>72</v>
      </c>
      <c r="D1" s="15" t="s">
        <v>73</v>
      </c>
      <c r="E1" s="15" t="s">
        <v>74</v>
      </c>
      <c r="F1" s="15" t="s">
        <v>75</v>
      </c>
      <c r="G1" s="15" t="s">
        <v>76</v>
      </c>
      <c r="H1" s="15" t="s">
        <v>77</v>
      </c>
      <c r="I1" s="15" t="s">
        <v>78</v>
      </c>
      <c r="J1" s="15" t="s">
        <v>79</v>
      </c>
      <c r="K1" s="15" t="s">
        <v>80</v>
      </c>
      <c r="L1" s="15" t="s">
        <v>25</v>
      </c>
      <c r="M1" s="15" t="s">
        <v>81</v>
      </c>
      <c r="N1" s="15" t="s">
        <v>82</v>
      </c>
      <c r="O1" s="15" t="s">
        <v>83</v>
      </c>
      <c r="P1" s="15" t="s">
        <v>84</v>
      </c>
      <c r="Q1" s="15" t="s">
        <v>85</v>
      </c>
      <c r="R1" s="15" t="s">
        <v>86</v>
      </c>
      <c r="S1" s="15" t="s">
        <v>87</v>
      </c>
      <c r="T1" s="15" t="s">
        <v>88</v>
      </c>
      <c r="U1" s="15" t="s">
        <v>89</v>
      </c>
    </row>
    <row r="2" customFormat="false" ht="15" hidden="false" customHeight="false" outlineLevel="0" collapsed="false">
      <c r="A2" s="16" t="s">
        <v>56</v>
      </c>
      <c r="B2" s="17" t="s">
        <v>90</v>
      </c>
      <c r="C2" s="16" t="s">
        <v>91</v>
      </c>
      <c r="D2" s="16" t="s">
        <v>92</v>
      </c>
      <c r="E2" s="16" t="s">
        <v>93</v>
      </c>
      <c r="F2" s="16" t="s">
        <v>94</v>
      </c>
      <c r="G2" s="16" t="s">
        <v>95</v>
      </c>
      <c r="H2" s="16" t="s">
        <v>96</v>
      </c>
      <c r="I2" s="16" t="s">
        <v>5</v>
      </c>
      <c r="J2" s="16" t="s">
        <v>97</v>
      </c>
      <c r="K2" s="18"/>
      <c r="L2" s="18" t="s">
        <v>9</v>
      </c>
      <c r="M2" s="18"/>
      <c r="N2" s="18"/>
      <c r="O2" s="18"/>
      <c r="P2" s="18"/>
      <c r="Q2" s="18"/>
      <c r="R2" s="18"/>
      <c r="S2" s="18"/>
      <c r="T2" s="18"/>
      <c r="U2" s="18"/>
    </row>
    <row r="3" customFormat="false" ht="15" hidden="false" customHeight="false" outlineLevel="0" collapsed="false">
      <c r="A3" s="19" t="s">
        <v>47</v>
      </c>
      <c r="B3" s="19" t="s">
        <v>98</v>
      </c>
      <c r="C3" s="19" t="s">
        <v>99</v>
      </c>
      <c r="D3" s="19" t="s">
        <v>92</v>
      </c>
      <c r="E3" s="19" t="s">
        <v>100</v>
      </c>
      <c r="F3" s="19" t="s">
        <v>101</v>
      </c>
      <c r="G3" s="19" t="s">
        <v>102</v>
      </c>
      <c r="H3" s="19" t="s">
        <v>103</v>
      </c>
      <c r="I3" s="19" t="s">
        <v>49</v>
      </c>
      <c r="J3" s="19" t="s">
        <v>104</v>
      </c>
      <c r="K3" s="18"/>
      <c r="L3" s="18" t="s">
        <v>9</v>
      </c>
      <c r="M3" s="18"/>
      <c r="N3" s="18"/>
      <c r="O3" s="18"/>
      <c r="P3" s="18"/>
      <c r="Q3" s="18"/>
      <c r="R3" s="18"/>
      <c r="S3" s="18"/>
      <c r="T3" s="18"/>
      <c r="U3" s="18"/>
    </row>
    <row r="4" customFormat="false" ht="15" hidden="false" customHeight="false" outlineLevel="0" collapsed="false">
      <c r="A4" s="19" t="s">
        <v>47</v>
      </c>
      <c r="B4" s="19" t="s">
        <v>105</v>
      </c>
      <c r="C4" s="19" t="s">
        <v>106</v>
      </c>
      <c r="D4" s="19" t="s">
        <v>107</v>
      </c>
      <c r="E4" s="19" t="s">
        <v>108</v>
      </c>
      <c r="F4" s="19" t="s">
        <v>109</v>
      </c>
      <c r="G4" s="19" t="s">
        <v>110</v>
      </c>
      <c r="H4" s="19" t="s">
        <v>103</v>
      </c>
      <c r="I4" s="19" t="s">
        <v>51</v>
      </c>
      <c r="J4" s="19" t="s">
        <v>111</v>
      </c>
      <c r="K4" s="18"/>
      <c r="L4" s="18" t="s">
        <v>9</v>
      </c>
      <c r="M4" s="18"/>
      <c r="N4" s="18"/>
      <c r="O4" s="18"/>
      <c r="P4" s="18"/>
      <c r="Q4" s="18"/>
      <c r="R4" s="18"/>
      <c r="S4" s="18"/>
      <c r="T4" s="18"/>
      <c r="U4" s="18"/>
    </row>
    <row r="5" customFormat="false" ht="15" hidden="false" customHeight="false" outlineLevel="0" collapsed="false">
      <c r="A5" s="16" t="s">
        <v>48</v>
      </c>
      <c r="B5" s="17" t="s">
        <v>112</v>
      </c>
      <c r="C5" s="16" t="s">
        <v>113</v>
      </c>
      <c r="D5" s="16" t="s">
        <v>114</v>
      </c>
      <c r="E5" s="16" t="s">
        <v>115</v>
      </c>
      <c r="F5" s="16" t="s">
        <v>116</v>
      </c>
      <c r="G5" s="16" t="s">
        <v>117</v>
      </c>
      <c r="H5" s="16" t="s">
        <v>96</v>
      </c>
      <c r="I5" s="16" t="s">
        <v>5</v>
      </c>
      <c r="J5" s="16" t="s">
        <v>118</v>
      </c>
      <c r="K5" s="18"/>
      <c r="L5" s="18" t="s">
        <v>9</v>
      </c>
      <c r="M5" s="18"/>
      <c r="N5" s="18"/>
      <c r="O5" s="18"/>
      <c r="P5" s="18"/>
      <c r="Q5" s="18"/>
      <c r="R5" s="18"/>
      <c r="S5" s="18"/>
      <c r="T5" s="18"/>
      <c r="U5" s="18"/>
    </row>
    <row r="6" customFormat="false" ht="15" hidden="false" customHeight="false" outlineLevel="0" collapsed="false">
      <c r="A6" s="19" t="s">
        <v>48</v>
      </c>
      <c r="B6" s="19" t="s">
        <v>119</v>
      </c>
      <c r="C6" s="19" t="s">
        <v>113</v>
      </c>
      <c r="D6" s="19" t="s">
        <v>114</v>
      </c>
      <c r="E6" s="19" t="s">
        <v>120</v>
      </c>
      <c r="F6" s="19" t="s">
        <v>121</v>
      </c>
      <c r="G6" s="19" t="s">
        <v>122</v>
      </c>
      <c r="H6" s="19" t="s">
        <v>103</v>
      </c>
      <c r="I6" s="19" t="s">
        <v>49</v>
      </c>
      <c r="J6" s="19" t="s">
        <v>123</v>
      </c>
      <c r="K6" s="18"/>
      <c r="L6" s="18" t="s">
        <v>9</v>
      </c>
      <c r="M6" s="18"/>
      <c r="N6" s="18"/>
      <c r="O6" s="18"/>
      <c r="P6" s="18"/>
      <c r="Q6" s="18"/>
      <c r="R6" s="18"/>
      <c r="S6" s="18"/>
      <c r="T6" s="18"/>
      <c r="U6" s="18"/>
    </row>
    <row r="7" customFormat="false" ht="15" hidden="false" customHeight="false" outlineLevel="0" collapsed="false">
      <c r="A7" s="19" t="s">
        <v>20</v>
      </c>
      <c r="B7" s="19" t="s">
        <v>124</v>
      </c>
      <c r="C7" s="19" t="s">
        <v>125</v>
      </c>
      <c r="D7" s="19" t="s">
        <v>114</v>
      </c>
      <c r="E7" s="19" t="s">
        <v>126</v>
      </c>
      <c r="F7" s="19" t="s">
        <v>127</v>
      </c>
      <c r="G7" s="19" t="s">
        <v>128</v>
      </c>
      <c r="H7" s="19" t="s">
        <v>103</v>
      </c>
      <c r="I7" s="19" t="s">
        <v>51</v>
      </c>
      <c r="J7" s="19" t="s">
        <v>129</v>
      </c>
      <c r="K7" s="18"/>
      <c r="L7" s="18" t="s">
        <v>9</v>
      </c>
      <c r="M7" s="18"/>
      <c r="N7" s="18"/>
      <c r="O7" s="18"/>
      <c r="P7" s="18"/>
      <c r="Q7" s="18"/>
      <c r="R7" s="18"/>
      <c r="S7" s="18"/>
      <c r="T7" s="18"/>
      <c r="U7" s="18"/>
    </row>
    <row r="8" customFormat="false" ht="22.35" hidden="false" customHeight="false" outlineLevel="0" collapsed="false">
      <c r="A8" s="19" t="s">
        <v>20</v>
      </c>
      <c r="B8" s="19" t="s">
        <v>130</v>
      </c>
      <c r="C8" s="19" t="s">
        <v>131</v>
      </c>
      <c r="D8" s="19" t="s">
        <v>132</v>
      </c>
      <c r="E8" s="19" t="s">
        <v>133</v>
      </c>
      <c r="F8" s="19" t="s">
        <v>134</v>
      </c>
      <c r="G8" s="19" t="s">
        <v>135</v>
      </c>
      <c r="H8" s="19" t="s">
        <v>96</v>
      </c>
      <c r="I8" s="19" t="s">
        <v>49</v>
      </c>
      <c r="J8" s="19" t="s">
        <v>136</v>
      </c>
      <c r="K8" s="18"/>
      <c r="L8" s="18" t="s">
        <v>9</v>
      </c>
      <c r="M8" s="18"/>
      <c r="N8" s="18"/>
      <c r="O8" s="18"/>
      <c r="P8" s="18"/>
      <c r="Q8" s="18"/>
      <c r="R8" s="18"/>
      <c r="S8" s="18"/>
      <c r="T8" s="18"/>
      <c r="U8" s="18"/>
    </row>
    <row r="9" customFormat="false" ht="15" hidden="false" customHeight="false" outlineLevel="0" collapsed="false">
      <c r="A9" s="16" t="s">
        <v>20</v>
      </c>
      <c r="B9" s="17" t="s">
        <v>137</v>
      </c>
      <c r="C9" s="16" t="s">
        <v>125</v>
      </c>
      <c r="D9" s="16" t="s">
        <v>132</v>
      </c>
      <c r="E9" s="16" t="s">
        <v>138</v>
      </c>
      <c r="F9" s="16" t="s">
        <v>139</v>
      </c>
      <c r="G9" s="16" t="s">
        <v>140</v>
      </c>
      <c r="H9" s="16" t="s">
        <v>103</v>
      </c>
      <c r="I9" s="16" t="s">
        <v>5</v>
      </c>
      <c r="J9" s="16" t="s">
        <v>141</v>
      </c>
      <c r="K9" s="18"/>
      <c r="L9" s="18" t="s">
        <v>9</v>
      </c>
      <c r="M9" s="18"/>
      <c r="N9" s="18"/>
      <c r="O9" s="18"/>
      <c r="P9" s="18"/>
      <c r="Q9" s="18"/>
      <c r="R9" s="18"/>
      <c r="S9" s="18"/>
      <c r="T9" s="18"/>
      <c r="U9" s="18"/>
    </row>
    <row r="10" customFormat="false" ht="15" hidden="false" customHeight="false" outlineLevel="0" collapsed="false">
      <c r="A10" s="16" t="s">
        <v>20</v>
      </c>
      <c r="B10" s="17" t="s">
        <v>142</v>
      </c>
      <c r="C10" s="16" t="s">
        <v>143</v>
      </c>
      <c r="D10" s="16" t="s">
        <v>132</v>
      </c>
      <c r="E10" s="16" t="s">
        <v>144</v>
      </c>
      <c r="F10" s="16" t="s">
        <v>145</v>
      </c>
      <c r="G10" s="16" t="s">
        <v>146</v>
      </c>
      <c r="H10" s="16" t="s">
        <v>103</v>
      </c>
      <c r="I10" s="16" t="s">
        <v>5</v>
      </c>
      <c r="J10" s="16" t="s">
        <v>147</v>
      </c>
      <c r="K10" s="18"/>
      <c r="L10" s="18" t="s">
        <v>9</v>
      </c>
      <c r="M10" s="18"/>
      <c r="N10" s="18"/>
      <c r="O10" s="18"/>
      <c r="P10" s="18"/>
      <c r="Q10" s="18"/>
      <c r="R10" s="18"/>
      <c r="S10" s="18"/>
      <c r="T10" s="18"/>
      <c r="U10" s="18"/>
    </row>
    <row r="11" customFormat="false" ht="15" hidden="false" customHeight="false" outlineLevel="0" collapsed="false">
      <c r="A11" s="16" t="s">
        <v>20</v>
      </c>
      <c r="B11" s="17" t="s">
        <v>148</v>
      </c>
      <c r="C11" s="16" t="s">
        <v>149</v>
      </c>
      <c r="D11" s="16" t="s">
        <v>150</v>
      </c>
      <c r="E11" s="16" t="s">
        <v>151</v>
      </c>
      <c r="F11" s="16" t="s">
        <v>152</v>
      </c>
      <c r="G11" s="16" t="s">
        <v>153</v>
      </c>
      <c r="H11" s="16" t="s">
        <v>154</v>
      </c>
      <c r="I11" s="16" t="s">
        <v>5</v>
      </c>
      <c r="J11" s="16" t="s">
        <v>155</v>
      </c>
      <c r="K11" s="18"/>
      <c r="L11" s="18" t="s">
        <v>9</v>
      </c>
      <c r="M11" s="18"/>
      <c r="N11" s="18"/>
      <c r="O11" s="18"/>
      <c r="P11" s="18"/>
      <c r="Q11" s="18"/>
      <c r="R11" s="18"/>
      <c r="S11" s="18"/>
      <c r="T11" s="18"/>
      <c r="U11" s="18"/>
    </row>
    <row r="12" customFormat="false" ht="15" hidden="false" customHeight="false" outlineLevel="0" collapsed="false">
      <c r="A12" s="19" t="s">
        <v>20</v>
      </c>
      <c r="B12" s="19" t="s">
        <v>156</v>
      </c>
      <c r="C12" s="19" t="s">
        <v>157</v>
      </c>
      <c r="D12" s="19" t="s">
        <v>107</v>
      </c>
      <c r="E12" s="19" t="s">
        <v>158</v>
      </c>
      <c r="F12" s="19" t="s">
        <v>159</v>
      </c>
      <c r="G12" s="19" t="s">
        <v>160</v>
      </c>
      <c r="H12" s="19" t="s">
        <v>154</v>
      </c>
      <c r="I12" s="19" t="s">
        <v>51</v>
      </c>
      <c r="J12" s="19" t="s">
        <v>161</v>
      </c>
      <c r="K12" s="18"/>
      <c r="L12" s="18" t="s">
        <v>9</v>
      </c>
      <c r="M12" s="18"/>
      <c r="N12" s="18"/>
      <c r="O12" s="18"/>
      <c r="P12" s="18"/>
      <c r="Q12" s="18"/>
      <c r="R12" s="18"/>
      <c r="S12" s="18"/>
      <c r="T12" s="18"/>
      <c r="U12" s="18"/>
    </row>
    <row r="13" customFormat="false" ht="15" hidden="false" customHeight="false" outlineLevel="0" collapsed="false">
      <c r="A13" s="19" t="s">
        <v>34</v>
      </c>
      <c r="B13" s="19" t="s">
        <v>162</v>
      </c>
      <c r="C13" s="19" t="s">
        <v>163</v>
      </c>
      <c r="D13" s="19" t="s">
        <v>92</v>
      </c>
      <c r="E13" s="19" t="s">
        <v>164</v>
      </c>
      <c r="F13" s="19" t="s">
        <v>165</v>
      </c>
      <c r="G13" s="19" t="s">
        <v>166</v>
      </c>
      <c r="H13" s="19" t="s">
        <v>103</v>
      </c>
      <c r="I13" s="19" t="s">
        <v>51</v>
      </c>
      <c r="J13" s="19" t="s">
        <v>167</v>
      </c>
      <c r="K13" s="18"/>
      <c r="L13" s="18" t="s">
        <v>9</v>
      </c>
      <c r="M13" s="18"/>
      <c r="N13" s="18"/>
      <c r="O13" s="18"/>
      <c r="P13" s="18"/>
      <c r="Q13" s="18"/>
      <c r="R13" s="18"/>
      <c r="S13" s="18"/>
      <c r="T13" s="18"/>
      <c r="U13" s="18"/>
    </row>
    <row r="14" customFormat="false" ht="15" hidden="false" customHeight="false" outlineLevel="0" collapsed="false">
      <c r="A14" s="19" t="s">
        <v>34</v>
      </c>
      <c r="B14" s="19" t="s">
        <v>168</v>
      </c>
      <c r="C14" s="19" t="s">
        <v>169</v>
      </c>
      <c r="D14" s="19" t="s">
        <v>114</v>
      </c>
      <c r="E14" s="19" t="s">
        <v>170</v>
      </c>
      <c r="F14" s="19" t="s">
        <v>171</v>
      </c>
      <c r="G14" s="19" t="s">
        <v>172</v>
      </c>
      <c r="H14" s="19" t="s">
        <v>103</v>
      </c>
      <c r="I14" s="19" t="s">
        <v>49</v>
      </c>
      <c r="J14" s="19" t="s">
        <v>173</v>
      </c>
      <c r="K14" s="18"/>
      <c r="L14" s="18" t="s">
        <v>9</v>
      </c>
      <c r="M14" s="18"/>
      <c r="N14" s="18"/>
      <c r="O14" s="18"/>
      <c r="P14" s="18"/>
      <c r="Q14" s="18"/>
      <c r="R14" s="18"/>
      <c r="S14" s="18"/>
      <c r="T14" s="18"/>
      <c r="U14" s="18"/>
    </row>
    <row r="15" customFormat="false" ht="22.35" hidden="false" customHeight="false" outlineLevel="0" collapsed="false">
      <c r="A15" s="16" t="s">
        <v>34</v>
      </c>
      <c r="B15" s="17" t="s">
        <v>174</v>
      </c>
      <c r="C15" s="16" t="s">
        <v>175</v>
      </c>
      <c r="D15" s="16" t="s">
        <v>92</v>
      </c>
      <c r="E15" s="16" t="s">
        <v>176</v>
      </c>
      <c r="F15" s="16" t="s">
        <v>177</v>
      </c>
      <c r="G15" s="16" t="s">
        <v>178</v>
      </c>
      <c r="H15" s="16" t="s">
        <v>103</v>
      </c>
      <c r="I15" s="16" t="s">
        <v>5</v>
      </c>
      <c r="J15" s="16" t="s">
        <v>179</v>
      </c>
      <c r="K15" s="18"/>
      <c r="L15" s="18" t="s">
        <v>9</v>
      </c>
      <c r="M15" s="18"/>
      <c r="N15" s="18"/>
      <c r="O15" s="18"/>
      <c r="P15" s="18"/>
      <c r="Q15" s="18"/>
      <c r="R15" s="18"/>
      <c r="S15" s="18"/>
      <c r="T15" s="18"/>
      <c r="U15" s="18"/>
    </row>
    <row r="16" customFormat="false" ht="15" hidden="false" customHeight="false" outlineLevel="0" collapsed="false">
      <c r="A16" s="16" t="s">
        <v>58</v>
      </c>
      <c r="B16" s="17" t="s">
        <v>180</v>
      </c>
      <c r="C16" s="16" t="s">
        <v>181</v>
      </c>
      <c r="D16" s="16" t="s">
        <v>132</v>
      </c>
      <c r="E16" s="16" t="s">
        <v>182</v>
      </c>
      <c r="F16" s="16" t="s">
        <v>183</v>
      </c>
      <c r="G16" s="16" t="s">
        <v>184</v>
      </c>
      <c r="H16" s="16" t="s">
        <v>103</v>
      </c>
      <c r="I16" s="16" t="s">
        <v>5</v>
      </c>
      <c r="J16" s="16" t="s">
        <v>185</v>
      </c>
      <c r="K16" s="18"/>
      <c r="L16" s="18" t="s">
        <v>9</v>
      </c>
      <c r="M16" s="18"/>
      <c r="N16" s="18"/>
      <c r="O16" s="18"/>
      <c r="P16" s="18"/>
      <c r="Q16" s="18"/>
      <c r="R16" s="18"/>
      <c r="S16" s="18"/>
      <c r="T16" s="18"/>
      <c r="U16" s="18"/>
    </row>
    <row r="17" customFormat="false" ht="15" hidden="false" customHeight="false" outlineLevel="0" collapsed="false">
      <c r="A17" s="16" t="s">
        <v>21</v>
      </c>
      <c r="B17" s="17" t="s">
        <v>186</v>
      </c>
      <c r="C17" s="16" t="s">
        <v>187</v>
      </c>
      <c r="D17" s="16" t="s">
        <v>92</v>
      </c>
      <c r="E17" s="16" t="s">
        <v>188</v>
      </c>
      <c r="F17" s="16" t="s">
        <v>189</v>
      </c>
      <c r="G17" s="16" t="s">
        <v>190</v>
      </c>
      <c r="H17" s="16" t="s">
        <v>103</v>
      </c>
      <c r="I17" s="16" t="s">
        <v>5</v>
      </c>
      <c r="J17" s="16" t="s">
        <v>191</v>
      </c>
      <c r="K17" s="18"/>
      <c r="L17" s="18" t="s">
        <v>9</v>
      </c>
      <c r="M17" s="18"/>
      <c r="N17" s="18"/>
      <c r="O17" s="18"/>
      <c r="P17" s="18"/>
      <c r="Q17" s="18"/>
      <c r="R17" s="18"/>
      <c r="S17" s="18"/>
      <c r="T17" s="18"/>
      <c r="U17" s="18"/>
    </row>
    <row r="18" customFormat="false" ht="22.35" hidden="false" customHeight="false" outlineLevel="0" collapsed="false">
      <c r="A18" s="19" t="s">
        <v>21</v>
      </c>
      <c r="B18" s="19" t="s">
        <v>192</v>
      </c>
      <c r="C18" s="19" t="s">
        <v>193</v>
      </c>
      <c r="D18" s="19" t="s">
        <v>194</v>
      </c>
      <c r="E18" s="19" t="s">
        <v>195</v>
      </c>
      <c r="F18" s="19" t="s">
        <v>196</v>
      </c>
      <c r="G18" s="19" t="s">
        <v>197</v>
      </c>
      <c r="H18" s="19" t="s">
        <v>96</v>
      </c>
      <c r="I18" s="19" t="s">
        <v>49</v>
      </c>
      <c r="J18" s="19" t="s">
        <v>198</v>
      </c>
      <c r="K18" s="18"/>
      <c r="L18" s="18" t="s">
        <v>9</v>
      </c>
      <c r="M18" s="18"/>
      <c r="N18" s="18"/>
      <c r="O18" s="18"/>
      <c r="P18" s="18"/>
      <c r="Q18" s="18"/>
      <c r="R18" s="18"/>
      <c r="S18" s="18"/>
      <c r="T18" s="18"/>
      <c r="U18" s="18"/>
    </row>
    <row r="19" customFormat="false" ht="15" hidden="false" customHeight="false" outlineLevel="0" collapsed="false">
      <c r="A19" s="19" t="s">
        <v>21</v>
      </c>
      <c r="B19" s="19" t="s">
        <v>199</v>
      </c>
      <c r="C19" s="19" t="s">
        <v>200</v>
      </c>
      <c r="D19" s="19" t="s">
        <v>107</v>
      </c>
      <c r="E19" s="19" t="s">
        <v>201</v>
      </c>
      <c r="F19" s="19" t="s">
        <v>202</v>
      </c>
      <c r="G19" s="19" t="s">
        <v>203</v>
      </c>
      <c r="H19" s="19" t="s">
        <v>103</v>
      </c>
      <c r="I19" s="19" t="s">
        <v>49</v>
      </c>
      <c r="J19" s="19" t="s">
        <v>204</v>
      </c>
      <c r="K19" s="18"/>
      <c r="L19" s="18" t="s">
        <v>9</v>
      </c>
      <c r="M19" s="18"/>
      <c r="N19" s="18"/>
      <c r="O19" s="18"/>
      <c r="P19" s="18"/>
      <c r="Q19" s="18"/>
      <c r="R19" s="18"/>
      <c r="S19" s="18"/>
      <c r="T19" s="18"/>
      <c r="U19" s="18"/>
    </row>
    <row r="20" customFormat="false" ht="22.35" hidden="false" customHeight="false" outlineLevel="0" collapsed="false">
      <c r="A20" s="16" t="s">
        <v>21</v>
      </c>
      <c r="B20" s="17" t="s">
        <v>205</v>
      </c>
      <c r="C20" s="16" t="s">
        <v>206</v>
      </c>
      <c r="D20" s="16" t="s">
        <v>92</v>
      </c>
      <c r="E20" s="16" t="s">
        <v>115</v>
      </c>
      <c r="F20" s="16" t="s">
        <v>207</v>
      </c>
      <c r="G20" s="16" t="s">
        <v>208</v>
      </c>
      <c r="H20" s="16" t="s">
        <v>103</v>
      </c>
      <c r="I20" s="16" t="s">
        <v>5</v>
      </c>
      <c r="J20" s="16" t="s">
        <v>209</v>
      </c>
      <c r="K20" s="18"/>
      <c r="L20" s="18" t="s">
        <v>9</v>
      </c>
      <c r="M20" s="18"/>
      <c r="N20" s="18"/>
      <c r="O20" s="18"/>
      <c r="P20" s="18"/>
      <c r="Q20" s="18"/>
      <c r="R20" s="18"/>
      <c r="S20" s="18"/>
      <c r="T20" s="18"/>
      <c r="U20" s="18"/>
    </row>
    <row r="21" customFormat="false" ht="15" hidden="false" customHeight="false" outlineLevel="0" collapsed="false">
      <c r="A21" s="16" t="s">
        <v>21</v>
      </c>
      <c r="B21" s="17" t="s">
        <v>210</v>
      </c>
      <c r="C21" s="16" t="s">
        <v>211</v>
      </c>
      <c r="D21" s="16" t="s">
        <v>92</v>
      </c>
      <c r="E21" s="16" t="s">
        <v>212</v>
      </c>
      <c r="F21" s="16" t="s">
        <v>213</v>
      </c>
      <c r="G21" s="16" t="s">
        <v>214</v>
      </c>
      <c r="H21" s="16" t="s">
        <v>103</v>
      </c>
      <c r="I21" s="16" t="s">
        <v>5</v>
      </c>
      <c r="J21" s="16" t="s">
        <v>215</v>
      </c>
      <c r="K21" s="18"/>
      <c r="L21" s="18" t="s">
        <v>9</v>
      </c>
      <c r="M21" s="18"/>
      <c r="N21" s="18"/>
      <c r="O21" s="18"/>
      <c r="P21" s="18"/>
      <c r="Q21" s="18"/>
      <c r="R21" s="18"/>
      <c r="S21" s="18"/>
      <c r="T21" s="18"/>
      <c r="U21" s="18"/>
    </row>
    <row r="22" customFormat="false" ht="15" hidden="false" customHeight="false" outlineLevel="0" collapsed="false">
      <c r="A22" s="16" t="s">
        <v>21</v>
      </c>
      <c r="B22" s="17" t="s">
        <v>216</v>
      </c>
      <c r="C22" s="16" t="s">
        <v>206</v>
      </c>
      <c r="D22" s="16" t="s">
        <v>132</v>
      </c>
      <c r="E22" s="16" t="s">
        <v>217</v>
      </c>
      <c r="F22" s="16" t="s">
        <v>218</v>
      </c>
      <c r="G22" s="16" t="s">
        <v>219</v>
      </c>
      <c r="H22" s="16" t="s">
        <v>103</v>
      </c>
      <c r="I22" s="16" t="s">
        <v>5</v>
      </c>
      <c r="J22" s="16" t="s">
        <v>220</v>
      </c>
      <c r="K22" s="18"/>
      <c r="L22" s="18" t="s">
        <v>9</v>
      </c>
      <c r="M22" s="18"/>
      <c r="N22" s="18"/>
      <c r="O22" s="18"/>
      <c r="P22" s="18"/>
      <c r="Q22" s="18"/>
      <c r="R22" s="18"/>
      <c r="S22" s="18"/>
      <c r="T22" s="18"/>
      <c r="U22" s="18"/>
    </row>
    <row r="23" customFormat="false" ht="15" hidden="false" customHeight="false" outlineLevel="0" collapsed="false">
      <c r="A23" s="16" t="s">
        <v>35</v>
      </c>
      <c r="B23" s="17" t="s">
        <v>221</v>
      </c>
      <c r="C23" s="16" t="s">
        <v>222</v>
      </c>
      <c r="D23" s="16" t="s">
        <v>132</v>
      </c>
      <c r="E23" s="16" t="s">
        <v>223</v>
      </c>
      <c r="F23" s="16" t="s">
        <v>224</v>
      </c>
      <c r="G23" s="16" t="s">
        <v>225</v>
      </c>
      <c r="H23" s="16" t="s">
        <v>103</v>
      </c>
      <c r="I23" s="16" t="s">
        <v>5</v>
      </c>
      <c r="J23" s="16" t="s">
        <v>226</v>
      </c>
      <c r="K23" s="18"/>
      <c r="L23" s="18" t="s">
        <v>9</v>
      </c>
      <c r="M23" s="18"/>
      <c r="N23" s="18"/>
      <c r="O23" s="18"/>
      <c r="P23" s="18"/>
      <c r="Q23" s="18"/>
      <c r="R23" s="18"/>
      <c r="S23" s="18"/>
      <c r="T23" s="18"/>
      <c r="U23" s="18"/>
    </row>
    <row r="24" customFormat="false" ht="15" hidden="false" customHeight="false" outlineLevel="0" collapsed="false">
      <c r="A24" s="16" t="s">
        <v>35</v>
      </c>
      <c r="B24" s="17" t="s">
        <v>227</v>
      </c>
      <c r="C24" s="16" t="s">
        <v>228</v>
      </c>
      <c r="D24" s="16" t="s">
        <v>92</v>
      </c>
      <c r="E24" s="16" t="s">
        <v>229</v>
      </c>
      <c r="F24" s="16" t="s">
        <v>230</v>
      </c>
      <c r="G24" s="16" t="s">
        <v>231</v>
      </c>
      <c r="H24" s="16" t="s">
        <v>103</v>
      </c>
      <c r="I24" s="16" t="s">
        <v>5</v>
      </c>
      <c r="J24" s="16" t="s">
        <v>232</v>
      </c>
      <c r="K24" s="18"/>
      <c r="L24" s="18" t="s">
        <v>9</v>
      </c>
      <c r="M24" s="18"/>
      <c r="N24" s="18"/>
      <c r="O24" s="18"/>
      <c r="P24" s="18"/>
      <c r="Q24" s="18"/>
      <c r="R24" s="18"/>
      <c r="S24" s="18"/>
      <c r="T24" s="18"/>
      <c r="U24" s="18"/>
    </row>
    <row r="25" customFormat="false" ht="15" hidden="false" customHeight="false" outlineLevel="0" collapsed="false">
      <c r="A25" s="19" t="s">
        <v>35</v>
      </c>
      <c r="B25" s="19" t="s">
        <v>233</v>
      </c>
      <c r="C25" s="19" t="s">
        <v>222</v>
      </c>
      <c r="D25" s="19" t="s">
        <v>92</v>
      </c>
      <c r="E25" s="19" t="s">
        <v>234</v>
      </c>
      <c r="F25" s="19" t="s">
        <v>235</v>
      </c>
      <c r="G25" s="19" t="s">
        <v>236</v>
      </c>
      <c r="H25" s="19" t="s">
        <v>154</v>
      </c>
      <c r="I25" s="19" t="s">
        <v>49</v>
      </c>
      <c r="J25" s="19" t="s">
        <v>237</v>
      </c>
      <c r="K25" s="18"/>
      <c r="L25" s="18" t="s">
        <v>9</v>
      </c>
      <c r="M25" s="18"/>
      <c r="N25" s="18"/>
      <c r="O25" s="18"/>
      <c r="P25" s="18"/>
      <c r="Q25" s="18"/>
      <c r="R25" s="18"/>
      <c r="S25" s="18"/>
      <c r="T25" s="18"/>
      <c r="U25" s="18"/>
    </row>
    <row r="26" customFormat="false" ht="15" hidden="false" customHeight="false" outlineLevel="0" collapsed="false">
      <c r="A26" s="16" t="s">
        <v>60</v>
      </c>
      <c r="B26" s="17" t="s">
        <v>238</v>
      </c>
      <c r="C26" s="16" t="s">
        <v>239</v>
      </c>
      <c r="D26" s="16" t="s">
        <v>107</v>
      </c>
      <c r="E26" s="16" t="s">
        <v>240</v>
      </c>
      <c r="F26" s="16" t="s">
        <v>241</v>
      </c>
      <c r="G26" s="16" t="s">
        <v>242</v>
      </c>
      <c r="H26" s="16" t="s">
        <v>103</v>
      </c>
      <c r="I26" s="16" t="s">
        <v>5</v>
      </c>
      <c r="J26" s="16" t="s">
        <v>243</v>
      </c>
      <c r="K26" s="18"/>
      <c r="L26" s="18" t="s">
        <v>9</v>
      </c>
      <c r="M26" s="18"/>
      <c r="N26" s="18"/>
      <c r="O26" s="18"/>
      <c r="P26" s="18"/>
      <c r="Q26" s="18"/>
      <c r="R26" s="18"/>
      <c r="S26" s="18"/>
      <c r="T26" s="18"/>
      <c r="U26" s="18"/>
    </row>
    <row r="27" customFormat="false" ht="15" hidden="false" customHeight="false" outlineLevel="0" collapsed="false">
      <c r="A27" s="16" t="s">
        <v>22</v>
      </c>
      <c r="B27" s="17" t="s">
        <v>244</v>
      </c>
      <c r="C27" s="16" t="s">
        <v>245</v>
      </c>
      <c r="D27" s="16" t="s">
        <v>107</v>
      </c>
      <c r="E27" s="16" t="s">
        <v>246</v>
      </c>
      <c r="F27" s="16" t="s">
        <v>247</v>
      </c>
      <c r="G27" s="16" t="s">
        <v>248</v>
      </c>
      <c r="H27" s="16" t="s">
        <v>96</v>
      </c>
      <c r="I27" s="16" t="s">
        <v>5</v>
      </c>
      <c r="J27" s="16" t="s">
        <v>249</v>
      </c>
      <c r="K27" s="18"/>
      <c r="L27" s="18" t="s">
        <v>9</v>
      </c>
      <c r="M27" s="18"/>
      <c r="N27" s="18"/>
      <c r="O27" s="18"/>
      <c r="P27" s="18"/>
      <c r="Q27" s="18"/>
      <c r="R27" s="18"/>
      <c r="S27" s="18"/>
      <c r="T27" s="18"/>
      <c r="U27" s="18"/>
    </row>
    <row r="28" customFormat="false" ht="15" hidden="false" customHeight="false" outlineLevel="0" collapsed="false">
      <c r="A28" s="19" t="s">
        <v>22</v>
      </c>
      <c r="B28" s="19" t="s">
        <v>250</v>
      </c>
      <c r="C28" s="19" t="s">
        <v>251</v>
      </c>
      <c r="D28" s="19" t="s">
        <v>92</v>
      </c>
      <c r="E28" s="19" t="s">
        <v>252</v>
      </c>
      <c r="F28" s="19" t="s">
        <v>253</v>
      </c>
      <c r="G28" s="19" t="s">
        <v>254</v>
      </c>
      <c r="H28" s="19" t="s">
        <v>103</v>
      </c>
      <c r="I28" s="19" t="s">
        <v>49</v>
      </c>
      <c r="J28" s="19" t="s">
        <v>255</v>
      </c>
      <c r="K28" s="18"/>
      <c r="L28" s="18" t="s">
        <v>9</v>
      </c>
      <c r="M28" s="18"/>
      <c r="N28" s="18"/>
      <c r="O28" s="18"/>
      <c r="P28" s="18"/>
      <c r="Q28" s="18"/>
      <c r="R28" s="18"/>
      <c r="S28" s="18"/>
      <c r="T28" s="18"/>
      <c r="U28" s="18"/>
    </row>
    <row r="29" customFormat="false" ht="15" hidden="false" customHeight="false" outlineLevel="0" collapsed="false">
      <c r="A29" s="19" t="s">
        <v>22</v>
      </c>
      <c r="B29" s="19" t="s">
        <v>256</v>
      </c>
      <c r="C29" s="19" t="s">
        <v>257</v>
      </c>
      <c r="D29" s="19" t="s">
        <v>107</v>
      </c>
      <c r="E29" s="19" t="s">
        <v>258</v>
      </c>
      <c r="F29" s="19" t="s">
        <v>224</v>
      </c>
      <c r="G29" s="19" t="s">
        <v>259</v>
      </c>
      <c r="H29" s="19" t="s">
        <v>103</v>
      </c>
      <c r="I29" s="19" t="s">
        <v>49</v>
      </c>
      <c r="J29" s="19" t="s">
        <v>260</v>
      </c>
      <c r="K29" s="18"/>
      <c r="L29" s="18" t="s">
        <v>9</v>
      </c>
      <c r="M29" s="18"/>
      <c r="N29" s="18"/>
      <c r="O29" s="18"/>
      <c r="P29" s="18"/>
      <c r="Q29" s="18"/>
      <c r="R29" s="18"/>
      <c r="S29" s="18"/>
      <c r="T29" s="18"/>
      <c r="U29" s="18"/>
    </row>
    <row r="30" customFormat="false" ht="22.35" hidden="false" customHeight="false" outlineLevel="0" collapsed="false">
      <c r="A30" s="16" t="s">
        <v>22</v>
      </c>
      <c r="B30" s="17" t="s">
        <v>261</v>
      </c>
      <c r="C30" s="16" t="s">
        <v>262</v>
      </c>
      <c r="D30" s="16" t="s">
        <v>132</v>
      </c>
      <c r="E30" s="16" t="s">
        <v>263</v>
      </c>
      <c r="F30" s="16" t="s">
        <v>264</v>
      </c>
      <c r="G30" s="16" t="s">
        <v>265</v>
      </c>
      <c r="H30" s="16" t="s">
        <v>154</v>
      </c>
      <c r="I30" s="16" t="s">
        <v>5</v>
      </c>
      <c r="J30" s="16" t="s">
        <v>266</v>
      </c>
      <c r="K30" s="18"/>
      <c r="L30" s="18" t="s">
        <v>9</v>
      </c>
      <c r="M30" s="18"/>
      <c r="N30" s="18"/>
      <c r="O30" s="18"/>
      <c r="P30" s="18"/>
      <c r="Q30" s="18"/>
      <c r="R30" s="18"/>
      <c r="S30" s="18"/>
      <c r="T30" s="18"/>
      <c r="U30" s="18"/>
    </row>
    <row r="31" customFormat="false" ht="15" hidden="false" customHeight="false" outlineLevel="0" collapsed="false">
      <c r="A31" s="19" t="s">
        <v>22</v>
      </c>
      <c r="B31" s="19" t="s">
        <v>267</v>
      </c>
      <c r="C31" s="19" t="s">
        <v>268</v>
      </c>
      <c r="D31" s="19" t="s">
        <v>114</v>
      </c>
      <c r="E31" s="19" t="s">
        <v>269</v>
      </c>
      <c r="F31" s="19" t="s">
        <v>270</v>
      </c>
      <c r="G31" s="19" t="s">
        <v>271</v>
      </c>
      <c r="H31" s="19" t="s">
        <v>103</v>
      </c>
      <c r="I31" s="19" t="s">
        <v>51</v>
      </c>
      <c r="J31" s="19" t="s">
        <v>272</v>
      </c>
      <c r="K31" s="18"/>
      <c r="L31" s="18" t="s">
        <v>9</v>
      </c>
      <c r="M31" s="18"/>
      <c r="N31" s="18"/>
      <c r="O31" s="18"/>
      <c r="P31" s="18"/>
      <c r="Q31" s="18"/>
      <c r="R31" s="18"/>
      <c r="S31" s="18"/>
      <c r="T31" s="18"/>
      <c r="U31" s="18"/>
    </row>
    <row r="32" customFormat="false" ht="15" hidden="false" customHeight="false" outlineLevel="0" collapsed="false">
      <c r="A32" s="19" t="s">
        <v>22</v>
      </c>
      <c r="B32" s="19" t="s">
        <v>273</v>
      </c>
      <c r="C32" s="19" t="s">
        <v>268</v>
      </c>
      <c r="D32" s="19" t="s">
        <v>274</v>
      </c>
      <c r="E32" s="19" t="s">
        <v>275</v>
      </c>
      <c r="F32" s="19" t="s">
        <v>276</v>
      </c>
      <c r="G32" s="19" t="s">
        <v>277</v>
      </c>
      <c r="H32" s="19" t="s">
        <v>103</v>
      </c>
      <c r="I32" s="19" t="s">
        <v>49</v>
      </c>
      <c r="J32" s="19" t="s">
        <v>278</v>
      </c>
      <c r="K32" s="18"/>
      <c r="L32" s="18" t="s">
        <v>9</v>
      </c>
      <c r="M32" s="18"/>
      <c r="N32" s="18"/>
      <c r="O32" s="18"/>
      <c r="P32" s="18"/>
      <c r="Q32" s="18"/>
      <c r="R32" s="18"/>
      <c r="S32" s="18"/>
      <c r="T32" s="18"/>
      <c r="U32" s="18"/>
    </row>
    <row r="33" customFormat="false" ht="15" hidden="false" customHeight="false" outlineLevel="0" collapsed="false">
      <c r="A33" s="19" t="s">
        <v>37</v>
      </c>
      <c r="B33" s="19" t="s">
        <v>279</v>
      </c>
      <c r="C33" s="19" t="s">
        <v>280</v>
      </c>
      <c r="D33" s="19" t="s">
        <v>92</v>
      </c>
      <c r="E33" s="19" t="s">
        <v>281</v>
      </c>
      <c r="F33" s="19" t="s">
        <v>139</v>
      </c>
      <c r="G33" s="19" t="s">
        <v>282</v>
      </c>
      <c r="H33" s="19" t="s">
        <v>103</v>
      </c>
      <c r="I33" s="19" t="s">
        <v>49</v>
      </c>
      <c r="J33" s="19" t="s">
        <v>283</v>
      </c>
      <c r="K33" s="18"/>
      <c r="L33" s="18" t="s">
        <v>9</v>
      </c>
      <c r="M33" s="18"/>
      <c r="N33" s="18"/>
      <c r="O33" s="18"/>
      <c r="P33" s="18"/>
      <c r="Q33" s="18"/>
      <c r="R33" s="18"/>
      <c r="S33" s="18"/>
      <c r="T33" s="18"/>
      <c r="U33" s="18"/>
    </row>
    <row r="34" customFormat="false" ht="22.35" hidden="false" customHeight="false" outlineLevel="0" collapsed="false">
      <c r="A34" s="16" t="s">
        <v>37</v>
      </c>
      <c r="B34" s="17" t="s">
        <v>284</v>
      </c>
      <c r="C34" s="16" t="s">
        <v>285</v>
      </c>
      <c r="D34" s="16" t="s">
        <v>114</v>
      </c>
      <c r="E34" s="16" t="s">
        <v>115</v>
      </c>
      <c r="F34" s="16" t="s">
        <v>286</v>
      </c>
      <c r="G34" s="16" t="s">
        <v>287</v>
      </c>
      <c r="H34" s="16" t="s">
        <v>96</v>
      </c>
      <c r="I34" s="16" t="s">
        <v>5</v>
      </c>
      <c r="J34" s="16" t="s">
        <v>288</v>
      </c>
      <c r="K34" s="18"/>
      <c r="L34" s="18" t="s">
        <v>9</v>
      </c>
      <c r="M34" s="18"/>
      <c r="N34" s="18"/>
      <c r="O34" s="18"/>
      <c r="P34" s="18"/>
      <c r="Q34" s="18"/>
      <c r="R34" s="18"/>
      <c r="S34" s="18"/>
      <c r="T34" s="18"/>
      <c r="U34" s="18"/>
    </row>
    <row r="35" customFormat="false" ht="15" hidden="false" customHeight="false" outlineLevel="0" collapsed="false">
      <c r="A35" s="16" t="s">
        <v>37</v>
      </c>
      <c r="B35" s="17" t="s">
        <v>289</v>
      </c>
      <c r="C35" s="16" t="s">
        <v>280</v>
      </c>
      <c r="D35" s="16" t="s">
        <v>290</v>
      </c>
      <c r="E35" s="16" t="s">
        <v>291</v>
      </c>
      <c r="F35" s="16" t="s">
        <v>292</v>
      </c>
      <c r="G35" s="16" t="s">
        <v>293</v>
      </c>
      <c r="H35" s="16" t="s">
        <v>103</v>
      </c>
      <c r="I35" s="16" t="s">
        <v>5</v>
      </c>
      <c r="J35" s="16" t="s">
        <v>294</v>
      </c>
      <c r="K35" s="18"/>
      <c r="L35" s="18" t="s">
        <v>9</v>
      </c>
      <c r="M35" s="18"/>
      <c r="N35" s="18"/>
      <c r="O35" s="18"/>
      <c r="P35" s="18"/>
      <c r="Q35" s="18"/>
      <c r="R35" s="18"/>
      <c r="S35" s="18"/>
      <c r="T35" s="18"/>
      <c r="U35" s="18"/>
    </row>
    <row r="36" customFormat="false" ht="15" hidden="false" customHeight="false" outlineLevel="0" collapsed="false">
      <c r="A36" s="19" t="s">
        <v>39</v>
      </c>
      <c r="B36" s="19" t="s">
        <v>295</v>
      </c>
      <c r="C36" s="19" t="s">
        <v>296</v>
      </c>
      <c r="D36" s="19" t="s">
        <v>107</v>
      </c>
      <c r="E36" s="19" t="s">
        <v>297</v>
      </c>
      <c r="F36" s="19" t="s">
        <v>298</v>
      </c>
      <c r="G36" s="19" t="s">
        <v>299</v>
      </c>
      <c r="H36" s="19" t="s">
        <v>103</v>
      </c>
      <c r="I36" s="19" t="s">
        <v>51</v>
      </c>
      <c r="J36" s="19" t="s">
        <v>300</v>
      </c>
      <c r="K36" s="18"/>
      <c r="L36" s="18" t="s">
        <v>9</v>
      </c>
      <c r="M36" s="18"/>
      <c r="N36" s="18"/>
      <c r="O36" s="18"/>
      <c r="P36" s="18"/>
      <c r="Q36" s="18"/>
      <c r="R36" s="18"/>
      <c r="S36" s="18"/>
      <c r="T36" s="18"/>
      <c r="U36" s="18"/>
    </row>
    <row r="37" customFormat="false" ht="22.35" hidden="false" customHeight="false" outlineLevel="0" collapsed="false">
      <c r="A37" s="16" t="s">
        <v>39</v>
      </c>
      <c r="B37" s="17" t="s">
        <v>301</v>
      </c>
      <c r="C37" s="16" t="s">
        <v>302</v>
      </c>
      <c r="D37" s="16" t="s">
        <v>92</v>
      </c>
      <c r="E37" s="16" t="s">
        <v>303</v>
      </c>
      <c r="F37" s="16" t="s">
        <v>304</v>
      </c>
      <c r="G37" s="16" t="s">
        <v>305</v>
      </c>
      <c r="H37" s="16" t="s">
        <v>154</v>
      </c>
      <c r="I37" s="16" t="s">
        <v>5</v>
      </c>
      <c r="J37" s="16" t="s">
        <v>306</v>
      </c>
      <c r="K37" s="18"/>
      <c r="L37" s="18" t="s">
        <v>9</v>
      </c>
      <c r="M37" s="18"/>
      <c r="N37" s="18"/>
      <c r="O37" s="18"/>
      <c r="P37" s="18"/>
      <c r="Q37" s="18"/>
      <c r="R37" s="18"/>
      <c r="S37" s="18"/>
      <c r="T37" s="18"/>
      <c r="U37" s="18"/>
    </row>
    <row r="38" customFormat="false" ht="15" hidden="false" customHeight="false" outlineLevel="0" collapsed="false">
      <c r="A38" s="16" t="s">
        <v>39</v>
      </c>
      <c r="B38" s="17" t="s">
        <v>307</v>
      </c>
      <c r="C38" s="16" t="s">
        <v>308</v>
      </c>
      <c r="D38" s="16" t="s">
        <v>114</v>
      </c>
      <c r="E38" s="16" t="s">
        <v>115</v>
      </c>
      <c r="F38" s="16" t="s">
        <v>309</v>
      </c>
      <c r="G38" s="16" t="s">
        <v>310</v>
      </c>
      <c r="H38" s="16" t="s">
        <v>96</v>
      </c>
      <c r="I38" s="16" t="s">
        <v>5</v>
      </c>
      <c r="J38" s="16" t="s">
        <v>311</v>
      </c>
      <c r="K38" s="18"/>
      <c r="L38" s="18" t="s">
        <v>9</v>
      </c>
      <c r="M38" s="18"/>
      <c r="N38" s="18"/>
      <c r="O38" s="18"/>
      <c r="P38" s="18"/>
      <c r="Q38" s="18"/>
      <c r="R38" s="18"/>
      <c r="S38" s="18"/>
      <c r="T38" s="18"/>
      <c r="U38" s="18"/>
    </row>
    <row r="39" customFormat="false" ht="22.35" hidden="false" customHeight="false" outlineLevel="0" collapsed="false">
      <c r="A39" s="16" t="s">
        <v>41</v>
      </c>
      <c r="B39" s="17" t="s">
        <v>312</v>
      </c>
      <c r="C39" s="16" t="s">
        <v>313</v>
      </c>
      <c r="D39" s="16" t="s">
        <v>132</v>
      </c>
      <c r="E39" s="16" t="s">
        <v>314</v>
      </c>
      <c r="F39" s="16" t="s">
        <v>315</v>
      </c>
      <c r="G39" s="16" t="s">
        <v>316</v>
      </c>
      <c r="H39" s="16" t="s">
        <v>103</v>
      </c>
      <c r="I39" s="16" t="s">
        <v>5</v>
      </c>
      <c r="J39" s="16" t="s">
        <v>317</v>
      </c>
      <c r="K39" s="18"/>
      <c r="L39" s="18" t="s">
        <v>9</v>
      </c>
      <c r="M39" s="18"/>
      <c r="N39" s="18"/>
      <c r="O39" s="18"/>
      <c r="P39" s="18"/>
      <c r="Q39" s="18"/>
      <c r="R39" s="18"/>
      <c r="S39" s="18"/>
      <c r="T39" s="18"/>
      <c r="U39" s="18"/>
    </row>
    <row r="40" customFormat="false" ht="15" hidden="false" customHeight="false" outlineLevel="0" collapsed="false">
      <c r="A40" s="19" t="s">
        <v>41</v>
      </c>
      <c r="B40" s="19" t="s">
        <v>318</v>
      </c>
      <c r="C40" s="19" t="s">
        <v>313</v>
      </c>
      <c r="D40" s="19" t="s">
        <v>92</v>
      </c>
      <c r="E40" s="19" t="s">
        <v>319</v>
      </c>
      <c r="F40" s="19" t="s">
        <v>320</v>
      </c>
      <c r="G40" s="19" t="s">
        <v>321</v>
      </c>
      <c r="H40" s="19" t="s">
        <v>103</v>
      </c>
      <c r="I40" s="19" t="s">
        <v>49</v>
      </c>
      <c r="J40" s="19" t="s">
        <v>322</v>
      </c>
      <c r="K40" s="18"/>
      <c r="L40" s="18" t="s">
        <v>9</v>
      </c>
      <c r="M40" s="18"/>
      <c r="N40" s="18"/>
      <c r="O40" s="18"/>
      <c r="P40" s="18"/>
      <c r="Q40" s="18"/>
      <c r="R40" s="18"/>
      <c r="S40" s="18"/>
      <c r="T40" s="18"/>
      <c r="U40" s="18"/>
    </row>
    <row r="41" customFormat="false" ht="22.35" hidden="false" customHeight="false" outlineLevel="0" collapsed="false">
      <c r="A41" s="16" t="s">
        <v>41</v>
      </c>
      <c r="B41" s="17" t="s">
        <v>323</v>
      </c>
      <c r="C41" s="16" t="s">
        <v>324</v>
      </c>
      <c r="D41" s="16" t="s">
        <v>92</v>
      </c>
      <c r="E41" s="16" t="s">
        <v>325</v>
      </c>
      <c r="F41" s="16" t="s">
        <v>326</v>
      </c>
      <c r="G41" s="16" t="s">
        <v>327</v>
      </c>
      <c r="H41" s="16" t="s">
        <v>103</v>
      </c>
      <c r="I41" s="16" t="s">
        <v>5</v>
      </c>
      <c r="J41" s="16" t="s">
        <v>328</v>
      </c>
      <c r="K41" s="18"/>
      <c r="L41" s="18" t="s">
        <v>9</v>
      </c>
      <c r="M41" s="18"/>
      <c r="N41" s="18"/>
      <c r="O41" s="18"/>
      <c r="P41" s="18"/>
      <c r="Q41" s="18"/>
      <c r="R41" s="18"/>
      <c r="S41" s="18"/>
      <c r="T41" s="18"/>
      <c r="U41" s="18"/>
    </row>
    <row r="42" customFormat="false" ht="15" hidden="false" customHeight="false" outlineLevel="0" collapsed="false">
      <c r="A42" s="19" t="s">
        <v>62</v>
      </c>
      <c r="B42" s="19" t="s">
        <v>329</v>
      </c>
      <c r="C42" s="19" t="s">
        <v>330</v>
      </c>
      <c r="D42" s="19" t="s">
        <v>132</v>
      </c>
      <c r="E42" s="19" t="s">
        <v>331</v>
      </c>
      <c r="F42" s="19" t="s">
        <v>332</v>
      </c>
      <c r="G42" s="19" t="s">
        <v>333</v>
      </c>
      <c r="H42" s="19" t="s">
        <v>103</v>
      </c>
      <c r="I42" s="19" t="s">
        <v>49</v>
      </c>
      <c r="J42" s="19" t="s">
        <v>334</v>
      </c>
      <c r="K42" s="18"/>
      <c r="L42" s="18" t="s">
        <v>9</v>
      </c>
      <c r="M42" s="18"/>
      <c r="N42" s="18"/>
      <c r="O42" s="18"/>
      <c r="P42" s="18"/>
      <c r="Q42" s="18"/>
      <c r="R42" s="18"/>
      <c r="S42" s="18"/>
      <c r="T42" s="18"/>
      <c r="U42" s="18"/>
    </row>
    <row r="43" customFormat="false" ht="15" hidden="false" customHeight="false" outlineLevel="0" collapsed="false">
      <c r="A43" s="19" t="s">
        <v>50</v>
      </c>
      <c r="B43" s="19" t="s">
        <v>335</v>
      </c>
      <c r="C43" s="19" t="s">
        <v>336</v>
      </c>
      <c r="D43" s="19" t="s">
        <v>107</v>
      </c>
      <c r="E43" s="19" t="s">
        <v>337</v>
      </c>
      <c r="F43" s="19" t="s">
        <v>338</v>
      </c>
      <c r="G43" s="19" t="s">
        <v>339</v>
      </c>
      <c r="H43" s="19" t="s">
        <v>103</v>
      </c>
      <c r="I43" s="19" t="s">
        <v>51</v>
      </c>
      <c r="J43" s="19" t="s">
        <v>340</v>
      </c>
      <c r="K43" s="18"/>
      <c r="L43" s="18" t="s">
        <v>9</v>
      </c>
      <c r="M43" s="18"/>
      <c r="N43" s="18"/>
      <c r="O43" s="18"/>
      <c r="P43" s="18"/>
      <c r="Q43" s="18"/>
      <c r="R43" s="18"/>
      <c r="S43" s="18"/>
      <c r="T43" s="18"/>
      <c r="U43" s="18"/>
    </row>
    <row r="44" customFormat="false" ht="15" hidden="false" customHeight="false" outlineLevel="0" collapsed="false">
      <c r="A44" s="19" t="s">
        <v>50</v>
      </c>
      <c r="B44" s="19" t="s">
        <v>341</v>
      </c>
      <c r="C44" s="19" t="s">
        <v>336</v>
      </c>
      <c r="D44" s="19" t="s">
        <v>114</v>
      </c>
      <c r="E44" s="19" t="s">
        <v>342</v>
      </c>
      <c r="F44" s="19" t="s">
        <v>343</v>
      </c>
      <c r="G44" s="19" t="s">
        <v>344</v>
      </c>
      <c r="H44" s="19" t="s">
        <v>103</v>
      </c>
      <c r="I44" s="19" t="s">
        <v>49</v>
      </c>
      <c r="J44" s="19" t="s">
        <v>345</v>
      </c>
      <c r="K44" s="18"/>
      <c r="L44" s="18" t="s">
        <v>9</v>
      </c>
      <c r="M44" s="18"/>
      <c r="N44" s="18"/>
      <c r="O44" s="18"/>
      <c r="P44" s="18"/>
      <c r="Q44" s="18"/>
      <c r="R44" s="18"/>
      <c r="S44" s="18"/>
      <c r="T44" s="18"/>
      <c r="U44" s="18"/>
    </row>
    <row r="45" customFormat="false" ht="22.35" hidden="false" customHeight="false" outlineLevel="0" collapsed="false">
      <c r="A45" s="19" t="s">
        <v>31</v>
      </c>
      <c r="B45" s="19" t="s">
        <v>346</v>
      </c>
      <c r="C45" s="19" t="s">
        <v>347</v>
      </c>
      <c r="D45" s="19" t="s">
        <v>348</v>
      </c>
      <c r="E45" s="19" t="s">
        <v>349</v>
      </c>
      <c r="F45" s="19" t="s">
        <v>350</v>
      </c>
      <c r="G45" s="19" t="s">
        <v>351</v>
      </c>
      <c r="H45" s="19" t="s">
        <v>96</v>
      </c>
      <c r="I45" s="19" t="s">
        <v>51</v>
      </c>
      <c r="J45" s="19" t="s">
        <v>352</v>
      </c>
      <c r="K45" s="18"/>
      <c r="L45" s="18" t="s">
        <v>9</v>
      </c>
      <c r="M45" s="18"/>
      <c r="N45" s="18"/>
      <c r="O45" s="18"/>
      <c r="P45" s="18"/>
      <c r="Q45" s="18"/>
      <c r="R45" s="18"/>
      <c r="S45" s="18"/>
      <c r="T45" s="18"/>
      <c r="U45" s="18"/>
    </row>
    <row r="46" customFormat="false" ht="15" hidden="false" customHeight="false" outlineLevel="0" collapsed="false">
      <c r="A46" s="19" t="s">
        <v>31</v>
      </c>
      <c r="B46" s="19" t="s">
        <v>353</v>
      </c>
      <c r="C46" s="19" t="s">
        <v>347</v>
      </c>
      <c r="D46" s="19" t="s">
        <v>132</v>
      </c>
      <c r="E46" s="19" t="s">
        <v>354</v>
      </c>
      <c r="F46" s="19" t="s">
        <v>355</v>
      </c>
      <c r="G46" s="19" t="s">
        <v>356</v>
      </c>
      <c r="H46" s="19" t="s">
        <v>103</v>
      </c>
      <c r="I46" s="19" t="s">
        <v>49</v>
      </c>
      <c r="J46" s="19" t="s">
        <v>357</v>
      </c>
      <c r="K46" s="18"/>
      <c r="L46" s="18" t="s">
        <v>9</v>
      </c>
      <c r="M46" s="18"/>
      <c r="N46" s="18"/>
      <c r="O46" s="18"/>
      <c r="P46" s="18"/>
      <c r="Q46" s="18"/>
      <c r="R46" s="18"/>
      <c r="S46" s="18"/>
      <c r="T46" s="18"/>
      <c r="U46" s="18"/>
    </row>
    <row r="47" customFormat="false" ht="15" hidden="false" customHeight="false" outlineLevel="0" collapsed="false">
      <c r="A47" s="19" t="s">
        <v>31</v>
      </c>
      <c r="B47" s="19" t="s">
        <v>358</v>
      </c>
      <c r="C47" s="19" t="s">
        <v>347</v>
      </c>
      <c r="D47" s="19" t="s">
        <v>92</v>
      </c>
      <c r="E47" s="19" t="s">
        <v>359</v>
      </c>
      <c r="F47" s="19" t="s">
        <v>360</v>
      </c>
      <c r="G47" s="19" t="s">
        <v>361</v>
      </c>
      <c r="H47" s="19" t="s">
        <v>154</v>
      </c>
      <c r="I47" s="19" t="s">
        <v>49</v>
      </c>
      <c r="J47" s="19" t="s">
        <v>362</v>
      </c>
      <c r="K47" s="18"/>
      <c r="L47" s="18" t="s">
        <v>9</v>
      </c>
      <c r="M47" s="18"/>
      <c r="N47" s="18"/>
      <c r="O47" s="18"/>
      <c r="P47" s="18"/>
      <c r="Q47" s="18"/>
      <c r="R47" s="18"/>
      <c r="S47" s="18"/>
      <c r="T47" s="18"/>
      <c r="U47" s="18"/>
    </row>
    <row r="48" customFormat="false" ht="15" hidden="false" customHeight="false" outlineLevel="0" collapsed="false">
      <c r="A48" s="16" t="s">
        <v>31</v>
      </c>
      <c r="B48" s="17" t="s">
        <v>363</v>
      </c>
      <c r="C48" s="16" t="s">
        <v>347</v>
      </c>
      <c r="D48" s="16" t="s">
        <v>132</v>
      </c>
      <c r="E48" s="16" t="s">
        <v>364</v>
      </c>
      <c r="F48" s="16" t="s">
        <v>365</v>
      </c>
      <c r="G48" s="16" t="s">
        <v>366</v>
      </c>
      <c r="H48" s="16" t="s">
        <v>103</v>
      </c>
      <c r="I48" s="16" t="s">
        <v>5</v>
      </c>
      <c r="J48" s="16" t="s">
        <v>367</v>
      </c>
      <c r="K48" s="18"/>
      <c r="L48" s="18" t="s">
        <v>9</v>
      </c>
      <c r="M48" s="18"/>
      <c r="N48" s="18"/>
      <c r="O48" s="18"/>
      <c r="P48" s="18"/>
      <c r="Q48" s="18"/>
      <c r="R48" s="18"/>
      <c r="S48" s="18"/>
      <c r="T48" s="18"/>
      <c r="U48" s="18"/>
    </row>
    <row r="49" customFormat="false" ht="15" hidden="false" customHeight="false" outlineLevel="0" collapsed="false">
      <c r="A49" s="16" t="s">
        <v>31</v>
      </c>
      <c r="B49" s="17" t="s">
        <v>368</v>
      </c>
      <c r="C49" s="16" t="s">
        <v>347</v>
      </c>
      <c r="D49" s="16" t="s">
        <v>92</v>
      </c>
      <c r="E49" s="16" t="s">
        <v>369</v>
      </c>
      <c r="F49" s="16" t="s">
        <v>370</v>
      </c>
      <c r="G49" s="16" t="s">
        <v>371</v>
      </c>
      <c r="H49" s="16" t="s">
        <v>103</v>
      </c>
      <c r="I49" s="16" t="s">
        <v>5</v>
      </c>
      <c r="J49" s="16" t="s">
        <v>372</v>
      </c>
      <c r="K49" s="18"/>
      <c r="L49" s="18" t="s">
        <v>9</v>
      </c>
      <c r="M49" s="18"/>
      <c r="N49" s="18"/>
      <c r="O49" s="18"/>
      <c r="P49" s="18"/>
      <c r="Q49" s="18"/>
      <c r="R49" s="18"/>
      <c r="S49" s="18"/>
      <c r="T49" s="18"/>
      <c r="U49" s="18"/>
    </row>
    <row r="50" customFormat="false" ht="22.35" hidden="false" customHeight="false" outlineLevel="0" collapsed="false">
      <c r="A50" s="16" t="s">
        <v>64</v>
      </c>
      <c r="B50" s="17" t="s">
        <v>373</v>
      </c>
      <c r="C50" s="16" t="s">
        <v>374</v>
      </c>
      <c r="D50" s="16" t="s">
        <v>92</v>
      </c>
      <c r="E50" s="16" t="s">
        <v>375</v>
      </c>
      <c r="F50" s="16" t="s">
        <v>376</v>
      </c>
      <c r="G50" s="16" t="s">
        <v>377</v>
      </c>
      <c r="H50" s="16" t="s">
        <v>103</v>
      </c>
      <c r="I50" s="16" t="s">
        <v>5</v>
      </c>
      <c r="J50" s="16" t="s">
        <v>378</v>
      </c>
      <c r="K50" s="18"/>
      <c r="L50" s="18" t="s">
        <v>9</v>
      </c>
      <c r="M50" s="18"/>
      <c r="N50" s="18"/>
      <c r="O50" s="18"/>
      <c r="P50" s="18"/>
      <c r="Q50" s="18"/>
      <c r="R50" s="18"/>
      <c r="S50" s="18"/>
      <c r="T50" s="18"/>
      <c r="U50" s="18"/>
    </row>
    <row r="51" customFormat="false" ht="15" hidden="false" customHeight="false" outlineLevel="0" collapsed="false">
      <c r="A51" s="19" t="s">
        <v>24</v>
      </c>
      <c r="B51" s="19" t="s">
        <v>379</v>
      </c>
      <c r="C51" s="19" t="s">
        <v>380</v>
      </c>
      <c r="D51" s="19" t="s">
        <v>92</v>
      </c>
      <c r="E51" s="19" t="s">
        <v>381</v>
      </c>
      <c r="F51" s="19" t="s">
        <v>382</v>
      </c>
      <c r="G51" s="19" t="s">
        <v>383</v>
      </c>
      <c r="H51" s="19" t="s">
        <v>96</v>
      </c>
      <c r="I51" s="19" t="s">
        <v>49</v>
      </c>
      <c r="J51" s="19" t="s">
        <v>384</v>
      </c>
      <c r="K51" s="18"/>
      <c r="L51" s="18" t="s">
        <v>9</v>
      </c>
      <c r="M51" s="18"/>
      <c r="N51" s="18"/>
      <c r="O51" s="18"/>
      <c r="P51" s="18"/>
      <c r="Q51" s="18"/>
      <c r="R51" s="18"/>
      <c r="S51" s="18"/>
      <c r="T51" s="18"/>
      <c r="U51" s="18"/>
    </row>
    <row r="52" customFormat="false" ht="15" hidden="false" customHeight="false" outlineLevel="0" collapsed="false">
      <c r="A52" s="19" t="s">
        <v>24</v>
      </c>
      <c r="B52" s="19" t="s">
        <v>385</v>
      </c>
      <c r="C52" s="19" t="s">
        <v>380</v>
      </c>
      <c r="D52" s="19" t="s">
        <v>132</v>
      </c>
      <c r="E52" s="19" t="s">
        <v>386</v>
      </c>
      <c r="F52" s="19" t="s">
        <v>387</v>
      </c>
      <c r="G52" s="19" t="s">
        <v>388</v>
      </c>
      <c r="H52" s="19" t="s">
        <v>103</v>
      </c>
      <c r="I52" s="19" t="s">
        <v>49</v>
      </c>
      <c r="J52" s="19" t="s">
        <v>389</v>
      </c>
      <c r="K52" s="18"/>
      <c r="L52" s="18" t="s">
        <v>9</v>
      </c>
      <c r="M52" s="18"/>
      <c r="N52" s="18"/>
      <c r="O52" s="18"/>
      <c r="P52" s="18"/>
      <c r="Q52" s="18"/>
      <c r="R52" s="18"/>
      <c r="S52" s="18"/>
      <c r="T52" s="18"/>
      <c r="U52" s="18"/>
    </row>
    <row r="53" customFormat="false" ht="15" hidden="false" customHeight="false" outlineLevel="0" collapsed="false">
      <c r="A53" s="16" t="s">
        <v>24</v>
      </c>
      <c r="B53" s="17" t="s">
        <v>390</v>
      </c>
      <c r="C53" s="16" t="s">
        <v>380</v>
      </c>
      <c r="D53" s="16" t="s">
        <v>92</v>
      </c>
      <c r="E53" s="16" t="s">
        <v>391</v>
      </c>
      <c r="F53" s="16" t="s">
        <v>145</v>
      </c>
      <c r="G53" s="16" t="s">
        <v>392</v>
      </c>
      <c r="H53" s="16" t="s">
        <v>103</v>
      </c>
      <c r="I53" s="16" t="s">
        <v>5</v>
      </c>
      <c r="J53" s="16" t="s">
        <v>393</v>
      </c>
      <c r="K53" s="18"/>
      <c r="L53" s="18" t="s">
        <v>9</v>
      </c>
      <c r="M53" s="18"/>
      <c r="N53" s="18"/>
      <c r="O53" s="18"/>
      <c r="P53" s="18"/>
      <c r="Q53" s="18"/>
      <c r="R53" s="18"/>
      <c r="S53" s="18"/>
      <c r="T53" s="18"/>
      <c r="U53" s="18"/>
    </row>
    <row r="54" customFormat="false" ht="15" hidden="false" customHeight="false" outlineLevel="0" collapsed="false">
      <c r="A54" s="19" t="s">
        <v>24</v>
      </c>
      <c r="B54" s="19" t="s">
        <v>394</v>
      </c>
      <c r="C54" s="19" t="s">
        <v>395</v>
      </c>
      <c r="D54" s="19" t="s">
        <v>132</v>
      </c>
      <c r="E54" s="19" t="s">
        <v>396</v>
      </c>
      <c r="F54" s="19" t="s">
        <v>397</v>
      </c>
      <c r="G54" s="19" t="s">
        <v>398</v>
      </c>
      <c r="H54" s="19" t="s">
        <v>103</v>
      </c>
      <c r="I54" s="19" t="s">
        <v>49</v>
      </c>
      <c r="J54" s="19" t="s">
        <v>399</v>
      </c>
      <c r="K54" s="18"/>
      <c r="L54" s="18" t="s">
        <v>9</v>
      </c>
      <c r="M54" s="18"/>
      <c r="N54" s="18"/>
      <c r="O54" s="18"/>
      <c r="P54" s="18"/>
      <c r="Q54" s="18"/>
      <c r="R54" s="18"/>
      <c r="S54" s="18"/>
      <c r="T54" s="18"/>
      <c r="U54" s="18"/>
    </row>
    <row r="55" customFormat="false" ht="15" hidden="false" customHeight="false" outlineLevel="0" collapsed="false">
      <c r="A55" s="16" t="s">
        <v>24</v>
      </c>
      <c r="B55" s="17" t="s">
        <v>400</v>
      </c>
      <c r="C55" s="16" t="s">
        <v>380</v>
      </c>
      <c r="D55" s="16" t="s">
        <v>114</v>
      </c>
      <c r="E55" s="16" t="s">
        <v>401</v>
      </c>
      <c r="F55" s="16" t="s">
        <v>402</v>
      </c>
      <c r="G55" s="16" t="s">
        <v>403</v>
      </c>
      <c r="H55" s="16" t="s">
        <v>96</v>
      </c>
      <c r="I55" s="16" t="s">
        <v>5</v>
      </c>
      <c r="J55" s="16" t="s">
        <v>404</v>
      </c>
      <c r="K55" s="18"/>
      <c r="L55" s="18" t="s">
        <v>9</v>
      </c>
      <c r="M55" s="18"/>
      <c r="N55" s="18"/>
      <c r="O55" s="18"/>
      <c r="P55" s="18"/>
      <c r="Q55" s="18"/>
      <c r="R55" s="18"/>
      <c r="S55" s="18"/>
      <c r="T55" s="18"/>
      <c r="U55" s="18"/>
    </row>
    <row r="56" customFormat="false" ht="15" hidden="false" customHeight="false" outlineLevel="0" collapsed="false">
      <c r="A56" s="19" t="s">
        <v>24</v>
      </c>
      <c r="B56" s="19" t="s">
        <v>405</v>
      </c>
      <c r="C56" s="19" t="s">
        <v>395</v>
      </c>
      <c r="D56" s="19" t="s">
        <v>92</v>
      </c>
      <c r="E56" s="19" t="s">
        <v>406</v>
      </c>
      <c r="F56" s="19" t="s">
        <v>407</v>
      </c>
      <c r="G56" s="19" t="s">
        <v>408</v>
      </c>
      <c r="H56" s="19" t="s">
        <v>96</v>
      </c>
      <c r="I56" s="19" t="s">
        <v>49</v>
      </c>
      <c r="J56" s="19" t="s">
        <v>409</v>
      </c>
      <c r="K56" s="18"/>
      <c r="L56" s="18" t="s">
        <v>9</v>
      </c>
      <c r="M56" s="18"/>
      <c r="N56" s="18"/>
      <c r="O56" s="18"/>
      <c r="P56" s="18"/>
      <c r="Q56" s="18"/>
      <c r="R56" s="18"/>
      <c r="S56" s="18"/>
      <c r="T56" s="18"/>
      <c r="U56" s="18"/>
    </row>
    <row r="57" customFormat="false" ht="15" hidden="false" customHeight="false" outlineLevel="0" collapsed="false">
      <c r="A57" s="19" t="s">
        <v>42</v>
      </c>
      <c r="B57" s="19" t="s">
        <v>410</v>
      </c>
      <c r="C57" s="19" t="s">
        <v>411</v>
      </c>
      <c r="D57" s="19" t="s">
        <v>114</v>
      </c>
      <c r="E57" s="19" t="s">
        <v>412</v>
      </c>
      <c r="F57" s="19" t="s">
        <v>413</v>
      </c>
      <c r="G57" s="19" t="s">
        <v>414</v>
      </c>
      <c r="H57" s="19" t="s">
        <v>103</v>
      </c>
      <c r="I57" s="19" t="s">
        <v>49</v>
      </c>
      <c r="J57" s="19" t="s">
        <v>415</v>
      </c>
      <c r="K57" s="18"/>
      <c r="L57" s="18" t="s">
        <v>9</v>
      </c>
      <c r="M57" s="18"/>
      <c r="N57" s="18"/>
      <c r="O57" s="18"/>
      <c r="P57" s="18"/>
      <c r="Q57" s="18"/>
      <c r="R57" s="18"/>
      <c r="S57" s="18"/>
      <c r="T57" s="18"/>
      <c r="U57" s="18"/>
    </row>
    <row r="58" customFormat="false" ht="22.35" hidden="false" customHeight="false" outlineLevel="0" collapsed="false">
      <c r="A58" s="16" t="s">
        <v>42</v>
      </c>
      <c r="B58" s="17" t="s">
        <v>416</v>
      </c>
      <c r="C58" s="16" t="s">
        <v>411</v>
      </c>
      <c r="D58" s="16" t="s">
        <v>417</v>
      </c>
      <c r="E58" s="16" t="s">
        <v>418</v>
      </c>
      <c r="F58" s="16" t="s">
        <v>419</v>
      </c>
      <c r="G58" s="16" t="s">
        <v>420</v>
      </c>
      <c r="H58" s="16" t="s">
        <v>103</v>
      </c>
      <c r="I58" s="16" t="s">
        <v>5</v>
      </c>
      <c r="J58" s="16" t="s">
        <v>421</v>
      </c>
      <c r="K58" s="18"/>
      <c r="L58" s="18" t="s">
        <v>9</v>
      </c>
      <c r="M58" s="18"/>
      <c r="N58" s="18"/>
      <c r="O58" s="18"/>
      <c r="P58" s="18"/>
      <c r="Q58" s="18"/>
      <c r="R58" s="18"/>
      <c r="S58" s="18"/>
      <c r="T58" s="18"/>
      <c r="U58" s="18"/>
    </row>
    <row r="59" customFormat="false" ht="22.35" hidden="false" customHeight="false" outlineLevel="0" collapsed="false">
      <c r="A59" s="19" t="s">
        <v>42</v>
      </c>
      <c r="B59" s="19" t="s">
        <v>422</v>
      </c>
      <c r="C59" s="19" t="s">
        <v>423</v>
      </c>
      <c r="D59" s="19" t="s">
        <v>114</v>
      </c>
      <c r="E59" s="19" t="s">
        <v>424</v>
      </c>
      <c r="F59" s="19" t="s">
        <v>247</v>
      </c>
      <c r="G59" s="19" t="s">
        <v>425</v>
      </c>
      <c r="H59" s="19" t="s">
        <v>154</v>
      </c>
      <c r="I59" s="19" t="s">
        <v>49</v>
      </c>
      <c r="J59" s="19" t="s">
        <v>426</v>
      </c>
      <c r="K59" s="18"/>
      <c r="L59" s="18" t="s">
        <v>9</v>
      </c>
      <c r="M59" s="18"/>
      <c r="N59" s="18"/>
      <c r="O59" s="18"/>
      <c r="P59" s="18"/>
      <c r="Q59" s="18"/>
      <c r="R59" s="18"/>
      <c r="S59" s="18"/>
      <c r="T59" s="18"/>
      <c r="U59" s="18"/>
    </row>
    <row r="60" customFormat="false" ht="15" hidden="false" customHeight="false" outlineLevel="0" collapsed="false">
      <c r="A60" s="19" t="s">
        <v>65</v>
      </c>
      <c r="B60" s="19" t="s">
        <v>427</v>
      </c>
      <c r="C60" s="19" t="s">
        <v>428</v>
      </c>
      <c r="D60" s="19" t="s">
        <v>92</v>
      </c>
      <c r="E60" s="19" t="s">
        <v>429</v>
      </c>
      <c r="F60" s="19" t="s">
        <v>292</v>
      </c>
      <c r="G60" s="19" t="s">
        <v>146</v>
      </c>
      <c r="H60" s="19" t="s">
        <v>103</v>
      </c>
      <c r="I60" s="19" t="s">
        <v>49</v>
      </c>
      <c r="J60" s="19" t="s">
        <v>430</v>
      </c>
      <c r="K60" s="18"/>
      <c r="L60" s="18" t="s">
        <v>9</v>
      </c>
      <c r="M60" s="18"/>
      <c r="N60" s="18"/>
      <c r="O60" s="18"/>
      <c r="P60" s="18"/>
      <c r="Q60" s="18"/>
      <c r="R60" s="18"/>
      <c r="S60" s="18"/>
      <c r="T60" s="18"/>
      <c r="U60" s="18"/>
    </row>
    <row r="61" customFormat="false" ht="22.35" hidden="false" customHeight="false" outlineLevel="0" collapsed="false">
      <c r="A61" s="16" t="s">
        <v>15</v>
      </c>
      <c r="B61" s="17" t="s">
        <v>431</v>
      </c>
      <c r="C61" s="16" t="s">
        <v>432</v>
      </c>
      <c r="D61" s="16" t="s">
        <v>433</v>
      </c>
      <c r="E61" s="16" t="s">
        <v>434</v>
      </c>
      <c r="F61" s="16" t="s">
        <v>435</v>
      </c>
      <c r="G61" s="16" t="s">
        <v>436</v>
      </c>
      <c r="H61" s="16" t="s">
        <v>103</v>
      </c>
      <c r="I61" s="16" t="s">
        <v>5</v>
      </c>
      <c r="J61" s="16" t="s">
        <v>437</v>
      </c>
      <c r="K61" s="18"/>
      <c r="L61" s="18" t="s">
        <v>9</v>
      </c>
      <c r="M61" s="18"/>
      <c r="N61" s="18"/>
      <c r="O61" s="18"/>
      <c r="P61" s="18"/>
      <c r="Q61" s="18"/>
      <c r="R61" s="18"/>
      <c r="S61" s="18"/>
      <c r="T61" s="18"/>
      <c r="U61" s="18"/>
    </row>
    <row r="62" customFormat="false" ht="15" hidden="false" customHeight="false" outlineLevel="0" collapsed="false">
      <c r="A62" s="16" t="s">
        <v>15</v>
      </c>
      <c r="B62" s="17" t="s">
        <v>438</v>
      </c>
      <c r="C62" s="16" t="s">
        <v>432</v>
      </c>
      <c r="D62" s="16" t="s">
        <v>132</v>
      </c>
      <c r="E62" s="16" t="s">
        <v>439</v>
      </c>
      <c r="F62" s="16" t="s">
        <v>397</v>
      </c>
      <c r="G62" s="16" t="s">
        <v>225</v>
      </c>
      <c r="H62" s="16" t="s">
        <v>103</v>
      </c>
      <c r="I62" s="16" t="s">
        <v>5</v>
      </c>
      <c r="J62" s="16" t="s">
        <v>440</v>
      </c>
      <c r="K62" s="18"/>
      <c r="L62" s="18" t="s">
        <v>9</v>
      </c>
      <c r="M62" s="18"/>
      <c r="N62" s="18"/>
      <c r="O62" s="18"/>
      <c r="P62" s="18"/>
      <c r="Q62" s="18"/>
      <c r="R62" s="18"/>
      <c r="S62" s="18"/>
      <c r="T62" s="18"/>
      <c r="U62" s="18"/>
    </row>
    <row r="63" customFormat="false" ht="22.35" hidden="false" customHeight="false" outlineLevel="0" collapsed="false">
      <c r="A63" s="16" t="s">
        <v>15</v>
      </c>
      <c r="B63" s="17" t="s">
        <v>441</v>
      </c>
      <c r="C63" s="16" t="s">
        <v>442</v>
      </c>
      <c r="D63" s="16" t="s">
        <v>92</v>
      </c>
      <c r="E63" s="16" t="s">
        <v>443</v>
      </c>
      <c r="F63" s="16" t="s">
        <v>444</v>
      </c>
      <c r="G63" s="16" t="s">
        <v>445</v>
      </c>
      <c r="H63" s="16" t="s">
        <v>96</v>
      </c>
      <c r="I63" s="16" t="s">
        <v>5</v>
      </c>
      <c r="J63" s="16" t="s">
        <v>446</v>
      </c>
      <c r="K63" s="18"/>
      <c r="L63" s="18" t="s">
        <v>9</v>
      </c>
      <c r="M63" s="18"/>
      <c r="N63" s="18"/>
      <c r="O63" s="18"/>
      <c r="P63" s="18"/>
      <c r="Q63" s="18"/>
      <c r="R63" s="18"/>
      <c r="S63" s="18"/>
      <c r="T63" s="18"/>
      <c r="U63" s="18"/>
    </row>
    <row r="64" customFormat="false" ht="15" hidden="false" customHeight="false" outlineLevel="0" collapsed="false">
      <c r="A64" s="19" t="s">
        <v>15</v>
      </c>
      <c r="B64" s="19" t="s">
        <v>447</v>
      </c>
      <c r="C64" s="19" t="s">
        <v>432</v>
      </c>
      <c r="D64" s="19" t="s">
        <v>132</v>
      </c>
      <c r="E64" s="19" t="s">
        <v>115</v>
      </c>
      <c r="F64" s="19" t="s">
        <v>315</v>
      </c>
      <c r="G64" s="19" t="s">
        <v>448</v>
      </c>
      <c r="H64" s="19" t="s">
        <v>103</v>
      </c>
      <c r="I64" s="19" t="s">
        <v>49</v>
      </c>
      <c r="J64" s="19" t="s">
        <v>449</v>
      </c>
      <c r="K64" s="18"/>
      <c r="L64" s="18" t="s">
        <v>9</v>
      </c>
      <c r="M64" s="18"/>
      <c r="N64" s="18"/>
      <c r="O64" s="18"/>
      <c r="P64" s="18"/>
      <c r="Q64" s="18"/>
      <c r="R64" s="18"/>
      <c r="S64" s="18"/>
      <c r="T64" s="18"/>
      <c r="U64" s="18"/>
    </row>
    <row r="65" customFormat="false" ht="22.35" hidden="false" customHeight="false" outlineLevel="0" collapsed="false">
      <c r="A65" s="16" t="s">
        <v>15</v>
      </c>
      <c r="B65" s="17" t="s">
        <v>450</v>
      </c>
      <c r="C65" s="16" t="s">
        <v>432</v>
      </c>
      <c r="D65" s="16" t="s">
        <v>92</v>
      </c>
      <c r="E65" s="16" t="s">
        <v>451</v>
      </c>
      <c r="F65" s="16" t="s">
        <v>452</v>
      </c>
      <c r="G65" s="16" t="s">
        <v>453</v>
      </c>
      <c r="H65" s="16" t="s">
        <v>154</v>
      </c>
      <c r="I65" s="16" t="s">
        <v>5</v>
      </c>
      <c r="J65" s="16" t="s">
        <v>454</v>
      </c>
      <c r="K65" s="18"/>
      <c r="L65" s="18" t="s">
        <v>9</v>
      </c>
      <c r="M65" s="18"/>
      <c r="N65" s="18"/>
      <c r="O65" s="18"/>
      <c r="P65" s="18"/>
      <c r="Q65" s="18"/>
      <c r="R65" s="18"/>
      <c r="S65" s="18"/>
      <c r="T65" s="18"/>
      <c r="U65" s="18"/>
    </row>
    <row r="66" customFormat="false" ht="22.35" hidden="false" customHeight="false" outlineLevel="0" collapsed="false">
      <c r="A66" s="16" t="s">
        <v>15</v>
      </c>
      <c r="B66" s="17" t="s">
        <v>455</v>
      </c>
      <c r="C66" s="16" t="s">
        <v>432</v>
      </c>
      <c r="D66" s="16" t="s">
        <v>92</v>
      </c>
      <c r="E66" s="16" t="s">
        <v>456</v>
      </c>
      <c r="F66" s="16" t="s">
        <v>457</v>
      </c>
      <c r="G66" s="16" t="s">
        <v>458</v>
      </c>
      <c r="H66" s="16" t="s">
        <v>154</v>
      </c>
      <c r="I66" s="16" t="s">
        <v>5</v>
      </c>
      <c r="J66" s="16" t="s">
        <v>459</v>
      </c>
      <c r="K66" s="18"/>
      <c r="L66" s="18" t="s">
        <v>9</v>
      </c>
      <c r="M66" s="18"/>
      <c r="N66" s="18"/>
      <c r="O66" s="18"/>
      <c r="P66" s="18"/>
      <c r="Q66" s="18"/>
      <c r="R66" s="18"/>
      <c r="S66" s="18"/>
      <c r="T66" s="18"/>
      <c r="U66" s="18"/>
    </row>
    <row r="67" customFormat="false" ht="15" hidden="false" customHeight="false" outlineLevel="0" collapsed="false">
      <c r="A67" s="19" t="s">
        <v>15</v>
      </c>
      <c r="B67" s="19" t="s">
        <v>460</v>
      </c>
      <c r="C67" s="19" t="s">
        <v>432</v>
      </c>
      <c r="D67" s="19" t="s">
        <v>92</v>
      </c>
      <c r="E67" s="19" t="s">
        <v>461</v>
      </c>
      <c r="F67" s="19" t="s">
        <v>253</v>
      </c>
      <c r="G67" s="19" t="s">
        <v>254</v>
      </c>
      <c r="H67" s="19" t="s">
        <v>103</v>
      </c>
      <c r="I67" s="19" t="s">
        <v>49</v>
      </c>
      <c r="J67" s="19" t="s">
        <v>462</v>
      </c>
      <c r="K67" s="18"/>
      <c r="L67" s="18" t="s">
        <v>9</v>
      </c>
      <c r="M67" s="18"/>
      <c r="N67" s="18"/>
      <c r="O67" s="18"/>
      <c r="P67" s="18"/>
      <c r="Q67" s="18"/>
      <c r="R67" s="18"/>
      <c r="S67" s="18"/>
      <c r="T67" s="18"/>
      <c r="U67" s="18"/>
    </row>
    <row r="68" customFormat="false" ht="15" hidden="false" customHeight="false" outlineLevel="0" collapsed="false">
      <c r="A68" s="16" t="s">
        <v>15</v>
      </c>
      <c r="B68" s="17" t="s">
        <v>463</v>
      </c>
      <c r="C68" s="16" t="s">
        <v>432</v>
      </c>
      <c r="D68" s="16" t="s">
        <v>132</v>
      </c>
      <c r="E68" s="16" t="s">
        <v>115</v>
      </c>
      <c r="F68" s="16" t="s">
        <v>145</v>
      </c>
      <c r="G68" s="16" t="s">
        <v>464</v>
      </c>
      <c r="H68" s="16" t="s">
        <v>103</v>
      </c>
      <c r="I68" s="16" t="s">
        <v>5</v>
      </c>
      <c r="J68" s="16" t="s">
        <v>465</v>
      </c>
      <c r="K68" s="18"/>
      <c r="L68" s="18" t="s">
        <v>9</v>
      </c>
      <c r="M68" s="18"/>
      <c r="N68" s="18"/>
      <c r="O68" s="18"/>
      <c r="P68" s="18"/>
      <c r="Q68" s="18"/>
      <c r="R68" s="18"/>
      <c r="S68" s="18"/>
      <c r="T68" s="18"/>
      <c r="U68" s="18"/>
    </row>
    <row r="69" customFormat="false" ht="15" hidden="false" customHeight="false" outlineLevel="0" collapsed="false">
      <c r="A69" s="19" t="s">
        <v>66</v>
      </c>
      <c r="B69" s="19" t="s">
        <v>466</v>
      </c>
      <c r="C69" s="19" t="s">
        <v>467</v>
      </c>
      <c r="D69" s="19" t="s">
        <v>92</v>
      </c>
      <c r="E69" s="19" t="s">
        <v>115</v>
      </c>
      <c r="F69" s="19" t="s">
        <v>468</v>
      </c>
      <c r="G69" s="19" t="s">
        <v>469</v>
      </c>
      <c r="H69" s="19" t="s">
        <v>103</v>
      </c>
      <c r="I69" s="19" t="s">
        <v>49</v>
      </c>
      <c r="J69" s="19" t="s">
        <v>470</v>
      </c>
      <c r="K69" s="18"/>
      <c r="L69" s="18" t="s">
        <v>9</v>
      </c>
      <c r="M69" s="18"/>
      <c r="N69" s="18"/>
      <c r="O69" s="18"/>
      <c r="P69" s="18"/>
      <c r="Q69" s="18"/>
      <c r="R69" s="18"/>
      <c r="S69" s="18"/>
      <c r="T69" s="18"/>
      <c r="U69" s="18"/>
    </row>
    <row r="70" customFormat="false" ht="15" hidden="false" customHeight="false" outlineLevel="0" collapsed="false">
      <c r="A70" s="19" t="s">
        <v>16</v>
      </c>
      <c r="B70" s="19" t="s">
        <v>471</v>
      </c>
      <c r="C70" s="19" t="s">
        <v>472</v>
      </c>
      <c r="D70" s="19" t="s">
        <v>107</v>
      </c>
      <c r="E70" s="19" t="s">
        <v>473</v>
      </c>
      <c r="F70" s="19" t="s">
        <v>276</v>
      </c>
      <c r="G70" s="19" t="s">
        <v>474</v>
      </c>
      <c r="H70" s="19" t="s">
        <v>103</v>
      </c>
      <c r="I70" s="19" t="s">
        <v>51</v>
      </c>
      <c r="J70" s="19" t="s">
        <v>475</v>
      </c>
      <c r="K70" s="18"/>
      <c r="L70" s="18" t="s">
        <v>9</v>
      </c>
      <c r="M70" s="18"/>
      <c r="N70" s="18"/>
      <c r="O70" s="18"/>
      <c r="P70" s="18"/>
      <c r="Q70" s="18"/>
      <c r="R70" s="18"/>
      <c r="S70" s="18"/>
      <c r="T70" s="18"/>
      <c r="U70" s="18"/>
    </row>
    <row r="71" customFormat="false" ht="15" hidden="false" customHeight="false" outlineLevel="0" collapsed="false">
      <c r="A71" s="19" t="s">
        <v>16</v>
      </c>
      <c r="B71" s="19" t="s">
        <v>476</v>
      </c>
      <c r="C71" s="19" t="s">
        <v>477</v>
      </c>
      <c r="D71" s="19" t="s">
        <v>92</v>
      </c>
      <c r="E71" s="19" t="s">
        <v>478</v>
      </c>
      <c r="F71" s="19" t="s">
        <v>145</v>
      </c>
      <c r="G71" s="19" t="s">
        <v>479</v>
      </c>
      <c r="H71" s="19" t="s">
        <v>103</v>
      </c>
      <c r="I71" s="19" t="s">
        <v>49</v>
      </c>
      <c r="J71" s="19" t="s">
        <v>480</v>
      </c>
      <c r="K71" s="18"/>
      <c r="L71" s="18" t="s">
        <v>9</v>
      </c>
      <c r="M71" s="18"/>
      <c r="N71" s="18"/>
      <c r="O71" s="18"/>
      <c r="P71" s="18"/>
      <c r="Q71" s="18"/>
      <c r="R71" s="18"/>
      <c r="S71" s="18"/>
      <c r="T71" s="18"/>
      <c r="U71" s="18"/>
    </row>
    <row r="72" customFormat="false" ht="15" hidden="false" customHeight="false" outlineLevel="0" collapsed="false">
      <c r="A72" s="19" t="s">
        <v>16</v>
      </c>
      <c r="B72" s="19" t="s">
        <v>481</v>
      </c>
      <c r="C72" s="19" t="s">
        <v>472</v>
      </c>
      <c r="D72" s="19" t="s">
        <v>114</v>
      </c>
      <c r="E72" s="19" t="s">
        <v>482</v>
      </c>
      <c r="F72" s="19" t="s">
        <v>483</v>
      </c>
      <c r="G72" s="19" t="s">
        <v>282</v>
      </c>
      <c r="H72" s="19" t="s">
        <v>103</v>
      </c>
      <c r="I72" s="19" t="s">
        <v>49</v>
      </c>
      <c r="J72" s="19" t="s">
        <v>484</v>
      </c>
      <c r="K72" s="18"/>
      <c r="L72" s="18" t="s">
        <v>9</v>
      </c>
      <c r="M72" s="18"/>
      <c r="N72" s="18"/>
      <c r="O72" s="18"/>
      <c r="P72" s="18"/>
      <c r="Q72" s="18"/>
      <c r="R72" s="18"/>
      <c r="S72" s="18"/>
      <c r="T72" s="18"/>
      <c r="U72" s="18"/>
    </row>
    <row r="73" customFormat="false" ht="15" hidden="false" customHeight="false" outlineLevel="0" collapsed="false">
      <c r="A73" s="16" t="s">
        <v>16</v>
      </c>
      <c r="B73" s="17" t="s">
        <v>485</v>
      </c>
      <c r="C73" s="16" t="s">
        <v>472</v>
      </c>
      <c r="D73" s="16" t="s">
        <v>417</v>
      </c>
      <c r="E73" s="16" t="s">
        <v>486</v>
      </c>
      <c r="F73" s="16" t="s">
        <v>487</v>
      </c>
      <c r="G73" s="16" t="s">
        <v>488</v>
      </c>
      <c r="H73" s="16" t="s">
        <v>96</v>
      </c>
      <c r="I73" s="16" t="s">
        <v>5</v>
      </c>
      <c r="J73" s="16" t="s">
        <v>489</v>
      </c>
      <c r="K73" s="18"/>
      <c r="L73" s="18" t="s">
        <v>9</v>
      </c>
      <c r="M73" s="18"/>
      <c r="N73" s="18"/>
      <c r="O73" s="18"/>
      <c r="P73" s="18"/>
      <c r="Q73" s="18"/>
      <c r="R73" s="18"/>
      <c r="S73" s="18"/>
      <c r="T73" s="18"/>
      <c r="U73" s="18"/>
    </row>
    <row r="74" customFormat="false" ht="22.35" hidden="false" customHeight="false" outlineLevel="0" collapsed="false">
      <c r="A74" s="19" t="s">
        <v>16</v>
      </c>
      <c r="B74" s="19" t="s">
        <v>490</v>
      </c>
      <c r="C74" s="19" t="s">
        <v>491</v>
      </c>
      <c r="D74" s="19" t="s">
        <v>114</v>
      </c>
      <c r="E74" s="19" t="s">
        <v>492</v>
      </c>
      <c r="F74" s="19" t="s">
        <v>493</v>
      </c>
      <c r="G74" s="19" t="s">
        <v>494</v>
      </c>
      <c r="H74" s="19" t="s">
        <v>103</v>
      </c>
      <c r="I74" s="19" t="s">
        <v>51</v>
      </c>
      <c r="J74" s="19" t="s">
        <v>495</v>
      </c>
      <c r="K74" s="18"/>
      <c r="L74" s="18" t="s">
        <v>9</v>
      </c>
      <c r="M74" s="18"/>
      <c r="N74" s="18"/>
      <c r="O74" s="18"/>
      <c r="P74" s="18"/>
      <c r="Q74" s="18"/>
      <c r="R74" s="18"/>
      <c r="S74" s="18"/>
      <c r="T74" s="18"/>
      <c r="U74" s="18"/>
    </row>
    <row r="75" customFormat="false" ht="15" hidden="false" customHeight="false" outlineLevel="0" collapsed="false">
      <c r="A75" s="16" t="s">
        <v>16</v>
      </c>
      <c r="B75" s="17" t="s">
        <v>496</v>
      </c>
      <c r="C75" s="16" t="s">
        <v>472</v>
      </c>
      <c r="D75" s="16" t="s">
        <v>132</v>
      </c>
      <c r="E75" s="16" t="s">
        <v>497</v>
      </c>
      <c r="F75" s="16" t="s">
        <v>498</v>
      </c>
      <c r="G75" s="16" t="s">
        <v>499</v>
      </c>
      <c r="H75" s="16" t="s">
        <v>154</v>
      </c>
      <c r="I75" s="16" t="s">
        <v>5</v>
      </c>
      <c r="J75" s="16" t="s">
        <v>500</v>
      </c>
      <c r="K75" s="18"/>
      <c r="L75" s="18" t="s">
        <v>9</v>
      </c>
      <c r="M75" s="18"/>
      <c r="N75" s="18"/>
      <c r="O75" s="18"/>
      <c r="P75" s="18"/>
      <c r="Q75" s="18"/>
      <c r="R75" s="18"/>
      <c r="S75" s="18"/>
      <c r="T75" s="18"/>
      <c r="U75" s="18"/>
    </row>
    <row r="76" customFormat="false" ht="15" hidden="false" customHeight="false" outlineLevel="0" collapsed="false">
      <c r="A76" s="19" t="s">
        <v>16</v>
      </c>
      <c r="B76" s="19" t="s">
        <v>501</v>
      </c>
      <c r="C76" s="19" t="s">
        <v>472</v>
      </c>
      <c r="D76" s="19" t="s">
        <v>114</v>
      </c>
      <c r="E76" s="19" t="s">
        <v>502</v>
      </c>
      <c r="F76" s="19" t="s">
        <v>503</v>
      </c>
      <c r="G76" s="19" t="s">
        <v>408</v>
      </c>
      <c r="H76" s="19" t="s">
        <v>96</v>
      </c>
      <c r="I76" s="19" t="s">
        <v>49</v>
      </c>
      <c r="J76" s="19" t="s">
        <v>504</v>
      </c>
      <c r="K76" s="18"/>
      <c r="L76" s="18" t="s">
        <v>9</v>
      </c>
      <c r="M76" s="18"/>
      <c r="N76" s="18"/>
      <c r="O76" s="18"/>
      <c r="P76" s="18"/>
      <c r="Q76" s="18"/>
      <c r="R76" s="18"/>
      <c r="S76" s="18"/>
      <c r="T76" s="18"/>
      <c r="U76" s="18"/>
    </row>
    <row r="77" customFormat="false" ht="22.35" hidden="false" customHeight="false" outlineLevel="0" collapsed="false">
      <c r="A77" s="19" t="s">
        <v>16</v>
      </c>
      <c r="B77" s="19" t="s">
        <v>505</v>
      </c>
      <c r="C77" s="19" t="s">
        <v>472</v>
      </c>
      <c r="D77" s="19" t="s">
        <v>107</v>
      </c>
      <c r="E77" s="19" t="s">
        <v>506</v>
      </c>
      <c r="F77" s="19" t="s">
        <v>507</v>
      </c>
      <c r="G77" s="19" t="s">
        <v>508</v>
      </c>
      <c r="H77" s="19" t="s">
        <v>103</v>
      </c>
      <c r="I77" s="19" t="s">
        <v>51</v>
      </c>
      <c r="J77" s="19" t="s">
        <v>509</v>
      </c>
      <c r="K77" s="18"/>
      <c r="L77" s="18" t="s">
        <v>9</v>
      </c>
      <c r="M77" s="18"/>
      <c r="N77" s="18"/>
      <c r="O77" s="18"/>
      <c r="P77" s="18"/>
      <c r="Q77" s="18"/>
      <c r="R77" s="18"/>
      <c r="S77" s="18"/>
      <c r="T77" s="18"/>
      <c r="U77" s="18"/>
    </row>
    <row r="78" customFormat="false" ht="22.35" hidden="false" customHeight="false" outlineLevel="0" collapsed="false">
      <c r="A78" s="19" t="s">
        <v>67</v>
      </c>
      <c r="B78" s="19" t="s">
        <v>510</v>
      </c>
      <c r="C78" s="19" t="s">
        <v>511</v>
      </c>
      <c r="D78" s="19" t="s">
        <v>92</v>
      </c>
      <c r="E78" s="19" t="s">
        <v>512</v>
      </c>
      <c r="F78" s="19" t="s">
        <v>513</v>
      </c>
      <c r="G78" s="19" t="s">
        <v>514</v>
      </c>
      <c r="H78" s="19" t="s">
        <v>154</v>
      </c>
      <c r="I78" s="19" t="s">
        <v>49</v>
      </c>
      <c r="J78" s="19" t="s">
        <v>515</v>
      </c>
      <c r="K78" s="18"/>
      <c r="L78" s="18" t="s">
        <v>9</v>
      </c>
      <c r="M78" s="18"/>
      <c r="N78" s="18"/>
      <c r="O78" s="18"/>
      <c r="P78" s="18"/>
      <c r="Q78" s="18"/>
      <c r="R78" s="18"/>
      <c r="S78" s="18"/>
      <c r="T78" s="18"/>
      <c r="U78" s="18"/>
    </row>
    <row r="79" customFormat="false" ht="15" hidden="false" customHeight="false" outlineLevel="0" collapsed="false">
      <c r="A79" s="19" t="s">
        <v>28</v>
      </c>
      <c r="B79" s="19" t="s">
        <v>516</v>
      </c>
      <c r="C79" s="19" t="s">
        <v>517</v>
      </c>
      <c r="D79" s="19" t="s">
        <v>92</v>
      </c>
      <c r="E79" s="19" t="s">
        <v>518</v>
      </c>
      <c r="F79" s="19" t="s">
        <v>360</v>
      </c>
      <c r="G79" s="19" t="s">
        <v>519</v>
      </c>
      <c r="H79" s="19" t="s">
        <v>154</v>
      </c>
      <c r="I79" s="19" t="s">
        <v>49</v>
      </c>
      <c r="J79" s="19" t="s">
        <v>520</v>
      </c>
      <c r="K79" s="18"/>
      <c r="L79" s="18" t="s">
        <v>9</v>
      </c>
      <c r="M79" s="18"/>
      <c r="N79" s="18"/>
      <c r="O79" s="18"/>
      <c r="P79" s="18"/>
      <c r="Q79" s="18"/>
      <c r="R79" s="18"/>
      <c r="S79" s="18"/>
      <c r="T79" s="18"/>
      <c r="U79" s="18"/>
    </row>
    <row r="80" customFormat="false" ht="15" hidden="false" customHeight="false" outlineLevel="0" collapsed="false">
      <c r="A80" s="16" t="s">
        <v>28</v>
      </c>
      <c r="B80" s="17" t="s">
        <v>521</v>
      </c>
      <c r="C80" s="16" t="s">
        <v>522</v>
      </c>
      <c r="D80" s="16" t="s">
        <v>132</v>
      </c>
      <c r="E80" s="16" t="s">
        <v>523</v>
      </c>
      <c r="F80" s="16" t="s">
        <v>524</v>
      </c>
      <c r="G80" s="16" t="s">
        <v>146</v>
      </c>
      <c r="H80" s="16" t="s">
        <v>103</v>
      </c>
      <c r="I80" s="16" t="s">
        <v>5</v>
      </c>
      <c r="J80" s="16" t="s">
        <v>525</v>
      </c>
      <c r="K80" s="18"/>
      <c r="L80" s="18" t="s">
        <v>9</v>
      </c>
      <c r="M80" s="18"/>
      <c r="N80" s="18"/>
      <c r="O80" s="18"/>
      <c r="P80" s="18"/>
      <c r="Q80" s="18"/>
      <c r="R80" s="18"/>
      <c r="S80" s="18"/>
      <c r="T80" s="18"/>
      <c r="U80" s="18"/>
    </row>
    <row r="81" customFormat="false" ht="15" hidden="false" customHeight="false" outlineLevel="0" collapsed="false">
      <c r="A81" s="19" t="s">
        <v>28</v>
      </c>
      <c r="B81" s="19" t="s">
        <v>526</v>
      </c>
      <c r="C81" s="19" t="s">
        <v>527</v>
      </c>
      <c r="D81" s="19" t="s">
        <v>132</v>
      </c>
      <c r="E81" s="19" t="s">
        <v>528</v>
      </c>
      <c r="F81" s="19" t="s">
        <v>139</v>
      </c>
      <c r="G81" s="19" t="s">
        <v>529</v>
      </c>
      <c r="H81" s="19" t="s">
        <v>103</v>
      </c>
      <c r="I81" s="19" t="s">
        <v>49</v>
      </c>
      <c r="J81" s="19" t="s">
        <v>530</v>
      </c>
      <c r="K81" s="18"/>
      <c r="L81" s="18" t="s">
        <v>9</v>
      </c>
      <c r="M81" s="18"/>
      <c r="N81" s="18"/>
      <c r="O81" s="18"/>
      <c r="P81" s="18"/>
      <c r="Q81" s="18"/>
      <c r="R81" s="18"/>
      <c r="S81" s="18"/>
      <c r="T81" s="18"/>
      <c r="U81" s="18"/>
    </row>
    <row r="82" customFormat="false" ht="15" hidden="false" customHeight="false" outlineLevel="0" collapsed="false">
      <c r="A82" s="19" t="s">
        <v>28</v>
      </c>
      <c r="B82" s="19" t="s">
        <v>531</v>
      </c>
      <c r="C82" s="19" t="s">
        <v>527</v>
      </c>
      <c r="D82" s="19" t="s">
        <v>107</v>
      </c>
      <c r="E82" s="19" t="s">
        <v>532</v>
      </c>
      <c r="F82" s="19" t="s">
        <v>397</v>
      </c>
      <c r="G82" s="19" t="s">
        <v>533</v>
      </c>
      <c r="H82" s="19" t="s">
        <v>103</v>
      </c>
      <c r="I82" s="19" t="s">
        <v>49</v>
      </c>
      <c r="J82" s="19" t="s">
        <v>534</v>
      </c>
      <c r="K82" s="18"/>
      <c r="L82" s="18" t="s">
        <v>9</v>
      </c>
      <c r="M82" s="18"/>
      <c r="N82" s="18"/>
      <c r="O82" s="18"/>
      <c r="P82" s="18"/>
      <c r="Q82" s="18"/>
      <c r="R82" s="18"/>
      <c r="S82" s="18"/>
      <c r="T82" s="18"/>
      <c r="U82" s="18"/>
    </row>
    <row r="83" customFormat="false" ht="22.35" hidden="false" customHeight="false" outlineLevel="0" collapsed="false">
      <c r="A83" s="19" t="s">
        <v>28</v>
      </c>
      <c r="B83" s="19" t="s">
        <v>535</v>
      </c>
      <c r="C83" s="19" t="s">
        <v>536</v>
      </c>
      <c r="D83" s="19" t="s">
        <v>417</v>
      </c>
      <c r="E83" s="19" t="s">
        <v>537</v>
      </c>
      <c r="F83" s="19" t="s">
        <v>538</v>
      </c>
      <c r="G83" s="19" t="s">
        <v>539</v>
      </c>
      <c r="H83" s="19" t="s">
        <v>103</v>
      </c>
      <c r="I83" s="19" t="s">
        <v>49</v>
      </c>
      <c r="J83" s="19" t="s">
        <v>540</v>
      </c>
      <c r="K83" s="18"/>
      <c r="L83" s="18" t="s">
        <v>9</v>
      </c>
      <c r="M83" s="18"/>
      <c r="N83" s="18"/>
      <c r="O83" s="18"/>
      <c r="P83" s="18"/>
      <c r="Q83" s="18"/>
      <c r="R83" s="18"/>
      <c r="S83" s="18"/>
      <c r="T83" s="18"/>
      <c r="U83" s="18"/>
    </row>
    <row r="84" customFormat="false" ht="15" hidden="false" customHeight="false" outlineLevel="0" collapsed="false">
      <c r="A84" s="19" t="s">
        <v>28</v>
      </c>
      <c r="B84" s="19" t="s">
        <v>541</v>
      </c>
      <c r="C84" s="19" t="s">
        <v>522</v>
      </c>
      <c r="D84" s="19" t="s">
        <v>542</v>
      </c>
      <c r="E84" s="19" t="s">
        <v>543</v>
      </c>
      <c r="F84" s="19" t="s">
        <v>544</v>
      </c>
      <c r="G84" s="19" t="s">
        <v>545</v>
      </c>
      <c r="H84" s="19" t="s">
        <v>103</v>
      </c>
      <c r="I84" s="19" t="s">
        <v>49</v>
      </c>
      <c r="J84" s="19" t="s">
        <v>546</v>
      </c>
      <c r="K84" s="18"/>
      <c r="L84" s="18" t="s">
        <v>9</v>
      </c>
      <c r="M84" s="18"/>
      <c r="N84" s="18"/>
      <c r="O84" s="18"/>
      <c r="P84" s="18"/>
      <c r="Q84" s="18"/>
      <c r="R84" s="18"/>
      <c r="S84" s="18"/>
      <c r="T84" s="18"/>
      <c r="U84" s="18"/>
    </row>
    <row r="85" customFormat="false" ht="15" hidden="false" customHeight="false" outlineLevel="0" collapsed="false">
      <c r="A85" s="19" t="s">
        <v>43</v>
      </c>
      <c r="B85" s="19" t="s">
        <v>547</v>
      </c>
      <c r="C85" s="19" t="s">
        <v>548</v>
      </c>
      <c r="D85" s="19" t="s">
        <v>92</v>
      </c>
      <c r="E85" s="19" t="s">
        <v>115</v>
      </c>
      <c r="F85" s="19" t="s">
        <v>320</v>
      </c>
      <c r="G85" s="19" t="s">
        <v>549</v>
      </c>
      <c r="H85" s="19" t="s">
        <v>103</v>
      </c>
      <c r="I85" s="19" t="s">
        <v>49</v>
      </c>
      <c r="J85" s="19" t="s">
        <v>550</v>
      </c>
      <c r="K85" s="18"/>
      <c r="L85" s="18" t="s">
        <v>9</v>
      </c>
      <c r="M85" s="18"/>
      <c r="N85" s="18"/>
      <c r="O85" s="18"/>
      <c r="P85" s="18"/>
      <c r="Q85" s="18"/>
      <c r="R85" s="18"/>
      <c r="S85" s="18"/>
      <c r="T85" s="18"/>
      <c r="U85" s="18"/>
    </row>
    <row r="86" customFormat="false" ht="15" hidden="false" customHeight="false" outlineLevel="0" collapsed="false">
      <c r="A86" s="16" t="s">
        <v>43</v>
      </c>
      <c r="B86" s="17" t="s">
        <v>551</v>
      </c>
      <c r="C86" s="16" t="s">
        <v>548</v>
      </c>
      <c r="D86" s="16" t="s">
        <v>92</v>
      </c>
      <c r="E86" s="16" t="s">
        <v>552</v>
      </c>
      <c r="F86" s="16" t="s">
        <v>553</v>
      </c>
      <c r="G86" s="16" t="s">
        <v>554</v>
      </c>
      <c r="H86" s="16" t="s">
        <v>103</v>
      </c>
      <c r="I86" s="16" t="s">
        <v>5</v>
      </c>
      <c r="J86" s="16" t="s">
        <v>555</v>
      </c>
      <c r="K86" s="18"/>
      <c r="L86" s="18" t="s">
        <v>9</v>
      </c>
      <c r="M86" s="18"/>
      <c r="N86" s="18"/>
      <c r="O86" s="18"/>
      <c r="P86" s="18"/>
      <c r="Q86" s="18"/>
      <c r="R86" s="18"/>
      <c r="S86" s="18"/>
      <c r="T86" s="18"/>
      <c r="U86" s="18"/>
    </row>
    <row r="87" customFormat="false" ht="15" hidden="false" customHeight="false" outlineLevel="0" collapsed="false">
      <c r="A87" s="16" t="s">
        <v>43</v>
      </c>
      <c r="B87" s="17" t="s">
        <v>556</v>
      </c>
      <c r="C87" s="16" t="s">
        <v>548</v>
      </c>
      <c r="D87" s="16" t="s">
        <v>92</v>
      </c>
      <c r="E87" s="16" t="s">
        <v>557</v>
      </c>
      <c r="F87" s="16" t="s">
        <v>558</v>
      </c>
      <c r="G87" s="16" t="s">
        <v>559</v>
      </c>
      <c r="H87" s="16" t="s">
        <v>103</v>
      </c>
      <c r="I87" s="16" t="s">
        <v>5</v>
      </c>
      <c r="J87" s="16" t="s">
        <v>560</v>
      </c>
      <c r="K87" s="18"/>
      <c r="L87" s="18" t="s">
        <v>9</v>
      </c>
      <c r="M87" s="18"/>
      <c r="N87" s="18"/>
      <c r="O87" s="18"/>
      <c r="P87" s="18"/>
      <c r="Q87" s="18"/>
      <c r="R87" s="18"/>
      <c r="S87" s="18"/>
      <c r="T87" s="18"/>
      <c r="U87" s="18"/>
    </row>
    <row r="88" customFormat="false" ht="15" hidden="false" customHeight="false" outlineLevel="0" collapsed="false">
      <c r="A88" s="19" t="s">
        <v>52</v>
      </c>
      <c r="B88" s="19" t="s">
        <v>561</v>
      </c>
      <c r="C88" s="19" t="s">
        <v>562</v>
      </c>
      <c r="D88" s="19" t="s">
        <v>132</v>
      </c>
      <c r="E88" s="19" t="s">
        <v>563</v>
      </c>
      <c r="F88" s="19" t="s">
        <v>315</v>
      </c>
      <c r="G88" s="19" t="s">
        <v>564</v>
      </c>
      <c r="H88" s="19" t="s">
        <v>103</v>
      </c>
      <c r="I88" s="19" t="s">
        <v>49</v>
      </c>
      <c r="J88" s="19" t="s">
        <v>565</v>
      </c>
      <c r="K88" s="18"/>
      <c r="L88" s="18" t="s">
        <v>9</v>
      </c>
      <c r="M88" s="18"/>
      <c r="N88" s="18"/>
      <c r="O88" s="18"/>
      <c r="P88" s="18"/>
      <c r="Q88" s="18"/>
      <c r="R88" s="18"/>
      <c r="S88" s="18"/>
      <c r="T88" s="18"/>
      <c r="U88" s="18"/>
    </row>
    <row r="89" customFormat="false" ht="22.35" hidden="false" customHeight="false" outlineLevel="0" collapsed="false">
      <c r="A89" s="19" t="s">
        <v>52</v>
      </c>
      <c r="B89" s="19" t="s">
        <v>566</v>
      </c>
      <c r="C89" s="19" t="s">
        <v>562</v>
      </c>
      <c r="D89" s="19" t="s">
        <v>114</v>
      </c>
      <c r="E89" s="19" t="s">
        <v>567</v>
      </c>
      <c r="F89" s="19" t="s">
        <v>568</v>
      </c>
      <c r="G89" s="19" t="s">
        <v>569</v>
      </c>
      <c r="H89" s="19" t="s">
        <v>103</v>
      </c>
      <c r="I89" s="19" t="s">
        <v>51</v>
      </c>
      <c r="J89" s="19" t="s">
        <v>570</v>
      </c>
      <c r="K89" s="18"/>
      <c r="L89" s="18" t="s">
        <v>9</v>
      </c>
      <c r="M89" s="18"/>
      <c r="N89" s="18"/>
      <c r="O89" s="18"/>
      <c r="P89" s="18"/>
      <c r="Q89" s="18"/>
      <c r="R89" s="18"/>
      <c r="S89" s="18"/>
      <c r="T89" s="18"/>
      <c r="U89" s="18"/>
    </row>
    <row r="90" customFormat="false" ht="22.35" hidden="false" customHeight="false" outlineLevel="0" collapsed="false">
      <c r="A90" s="16" t="s">
        <v>7</v>
      </c>
      <c r="B90" s="17" t="s">
        <v>571</v>
      </c>
      <c r="C90" s="16" t="s">
        <v>572</v>
      </c>
      <c r="D90" s="16" t="s">
        <v>92</v>
      </c>
      <c r="E90" s="16" t="s">
        <v>573</v>
      </c>
      <c r="F90" s="16" t="s">
        <v>574</v>
      </c>
      <c r="G90" s="16" t="s">
        <v>575</v>
      </c>
      <c r="H90" s="16" t="s">
        <v>103</v>
      </c>
      <c r="I90" s="16" t="s">
        <v>5</v>
      </c>
      <c r="J90" s="16" t="s">
        <v>576</v>
      </c>
      <c r="K90" s="18" t="s">
        <v>577</v>
      </c>
      <c r="L90" s="18" t="s">
        <v>32</v>
      </c>
      <c r="M90" s="18" t="s">
        <v>103</v>
      </c>
      <c r="N90" s="18" t="s">
        <v>578</v>
      </c>
      <c r="O90" s="18" t="s">
        <v>579</v>
      </c>
      <c r="P90" s="18" t="s">
        <v>580</v>
      </c>
      <c r="Q90" s="18" t="s">
        <v>581</v>
      </c>
      <c r="R90" s="18" t="s">
        <v>582</v>
      </c>
      <c r="S90" s="18"/>
      <c r="T90" s="18" t="s">
        <v>583</v>
      </c>
      <c r="U90" s="18" t="s">
        <v>584</v>
      </c>
    </row>
    <row r="91" customFormat="false" ht="15" hidden="false" customHeight="false" outlineLevel="0" collapsed="false">
      <c r="A91" s="19" t="s">
        <v>7</v>
      </c>
      <c r="B91" s="19" t="s">
        <v>585</v>
      </c>
      <c r="C91" s="19" t="s">
        <v>586</v>
      </c>
      <c r="D91" s="19" t="s">
        <v>92</v>
      </c>
      <c r="E91" s="19" t="s">
        <v>115</v>
      </c>
      <c r="F91" s="19" t="s">
        <v>587</v>
      </c>
      <c r="G91" s="19" t="s">
        <v>588</v>
      </c>
      <c r="H91" s="19" t="s">
        <v>103</v>
      </c>
      <c r="I91" s="19" t="s">
        <v>49</v>
      </c>
      <c r="J91" s="19" t="s">
        <v>589</v>
      </c>
      <c r="K91" s="18"/>
      <c r="L91" s="18" t="s">
        <v>9</v>
      </c>
      <c r="M91" s="18"/>
      <c r="N91" s="18"/>
      <c r="O91" s="18"/>
      <c r="P91" s="18"/>
      <c r="Q91" s="18"/>
      <c r="R91" s="18"/>
      <c r="S91" s="18"/>
      <c r="T91" s="18"/>
      <c r="U91" s="18"/>
    </row>
    <row r="92" customFormat="false" ht="15" hidden="false" customHeight="false" outlineLevel="0" collapsed="false">
      <c r="A92" s="19" t="s">
        <v>7</v>
      </c>
      <c r="B92" s="19" t="s">
        <v>590</v>
      </c>
      <c r="C92" s="19" t="s">
        <v>591</v>
      </c>
      <c r="D92" s="19" t="s">
        <v>132</v>
      </c>
      <c r="E92" s="19" t="s">
        <v>592</v>
      </c>
      <c r="F92" s="19" t="s">
        <v>593</v>
      </c>
      <c r="G92" s="19" t="s">
        <v>448</v>
      </c>
      <c r="H92" s="19" t="s">
        <v>103</v>
      </c>
      <c r="I92" s="19" t="s">
        <v>49</v>
      </c>
      <c r="J92" s="19" t="s">
        <v>594</v>
      </c>
      <c r="K92" s="18"/>
      <c r="L92" s="18" t="s">
        <v>9</v>
      </c>
      <c r="M92" s="18"/>
      <c r="N92" s="18"/>
      <c r="O92" s="18"/>
      <c r="P92" s="18"/>
      <c r="Q92" s="18"/>
      <c r="R92" s="18"/>
      <c r="S92" s="18"/>
      <c r="T92" s="18"/>
      <c r="U92" s="18"/>
    </row>
    <row r="93" customFormat="false" ht="15" hidden="false" customHeight="false" outlineLevel="0" collapsed="false">
      <c r="A93" s="16" t="s">
        <v>7</v>
      </c>
      <c r="B93" s="17" t="s">
        <v>595</v>
      </c>
      <c r="C93" s="16" t="s">
        <v>596</v>
      </c>
      <c r="D93" s="16" t="s">
        <v>92</v>
      </c>
      <c r="E93" s="16" t="s">
        <v>597</v>
      </c>
      <c r="F93" s="16" t="s">
        <v>598</v>
      </c>
      <c r="G93" s="16" t="s">
        <v>599</v>
      </c>
      <c r="H93" s="16" t="s">
        <v>103</v>
      </c>
      <c r="I93" s="16" t="s">
        <v>5</v>
      </c>
      <c r="J93" s="16" t="s">
        <v>600</v>
      </c>
      <c r="K93" s="18"/>
      <c r="L93" s="18" t="s">
        <v>9</v>
      </c>
      <c r="M93" s="18"/>
      <c r="N93" s="18"/>
      <c r="O93" s="18"/>
      <c r="P93" s="18"/>
      <c r="Q93" s="18"/>
      <c r="R93" s="18"/>
      <c r="S93" s="18"/>
      <c r="T93" s="18"/>
      <c r="U93" s="18"/>
    </row>
    <row r="94" customFormat="false" ht="15" hidden="false" customHeight="false" outlineLevel="0" collapsed="false">
      <c r="A94" s="16" t="s">
        <v>7</v>
      </c>
      <c r="B94" s="17" t="s">
        <v>601</v>
      </c>
      <c r="C94" s="16" t="s">
        <v>602</v>
      </c>
      <c r="D94" s="16" t="s">
        <v>107</v>
      </c>
      <c r="E94" s="16" t="s">
        <v>603</v>
      </c>
      <c r="F94" s="16" t="s">
        <v>298</v>
      </c>
      <c r="G94" s="16" t="s">
        <v>153</v>
      </c>
      <c r="H94" s="16" t="s">
        <v>103</v>
      </c>
      <c r="I94" s="16" t="s">
        <v>5</v>
      </c>
      <c r="J94" s="16" t="s">
        <v>604</v>
      </c>
      <c r="K94" s="18"/>
      <c r="L94" s="18" t="s">
        <v>9</v>
      </c>
      <c r="M94" s="18"/>
      <c r="N94" s="18"/>
      <c r="O94" s="18"/>
      <c r="P94" s="18"/>
      <c r="Q94" s="18"/>
      <c r="R94" s="18"/>
      <c r="S94" s="18"/>
      <c r="T94" s="18"/>
      <c r="U94" s="18"/>
    </row>
    <row r="95" customFormat="false" ht="15" hidden="false" customHeight="false" outlineLevel="0" collapsed="false">
      <c r="A95" s="19" t="s">
        <v>7</v>
      </c>
      <c r="B95" s="19" t="s">
        <v>605</v>
      </c>
      <c r="C95" s="19" t="s">
        <v>606</v>
      </c>
      <c r="D95" s="19" t="s">
        <v>132</v>
      </c>
      <c r="E95" s="19" t="s">
        <v>607</v>
      </c>
      <c r="F95" s="19" t="s">
        <v>397</v>
      </c>
      <c r="G95" s="19" t="s">
        <v>356</v>
      </c>
      <c r="H95" s="19" t="s">
        <v>103</v>
      </c>
      <c r="I95" s="19" t="s">
        <v>49</v>
      </c>
      <c r="J95" s="19" t="s">
        <v>608</v>
      </c>
      <c r="K95" s="18"/>
      <c r="L95" s="18" t="s">
        <v>9</v>
      </c>
      <c r="M95" s="18"/>
      <c r="N95" s="18"/>
      <c r="O95" s="18"/>
      <c r="P95" s="18"/>
      <c r="Q95" s="18"/>
      <c r="R95" s="18"/>
      <c r="S95" s="18"/>
      <c r="T95" s="18"/>
      <c r="U95" s="18"/>
    </row>
    <row r="96" customFormat="false" ht="15" hidden="false" customHeight="false" outlineLevel="0" collapsed="false">
      <c r="A96" s="16" t="s">
        <v>7</v>
      </c>
      <c r="B96" s="17" t="s">
        <v>609</v>
      </c>
      <c r="C96" s="16" t="s">
        <v>610</v>
      </c>
      <c r="D96" s="16" t="s">
        <v>92</v>
      </c>
      <c r="E96" s="16" t="s">
        <v>611</v>
      </c>
      <c r="F96" s="16" t="s">
        <v>370</v>
      </c>
      <c r="G96" s="16" t="s">
        <v>371</v>
      </c>
      <c r="H96" s="16" t="s">
        <v>103</v>
      </c>
      <c r="I96" s="16" t="s">
        <v>5</v>
      </c>
      <c r="J96" s="16" t="s">
        <v>612</v>
      </c>
      <c r="K96" s="18"/>
      <c r="L96" s="18" t="s">
        <v>9</v>
      </c>
      <c r="M96" s="18"/>
      <c r="N96" s="18"/>
      <c r="O96" s="18"/>
      <c r="P96" s="18"/>
      <c r="Q96" s="18"/>
      <c r="R96" s="18"/>
      <c r="S96" s="18"/>
      <c r="T96" s="18"/>
      <c r="U96" s="18"/>
    </row>
    <row r="97" customFormat="false" ht="22.35" hidden="false" customHeight="false" outlineLevel="0" collapsed="false">
      <c r="A97" s="16" t="s">
        <v>7</v>
      </c>
      <c r="B97" s="17" t="s">
        <v>613</v>
      </c>
      <c r="C97" s="16" t="s">
        <v>614</v>
      </c>
      <c r="D97" s="16" t="s">
        <v>107</v>
      </c>
      <c r="E97" s="16" t="s">
        <v>615</v>
      </c>
      <c r="F97" s="16" t="s">
        <v>419</v>
      </c>
      <c r="G97" s="16" t="s">
        <v>616</v>
      </c>
      <c r="H97" s="16" t="s">
        <v>103</v>
      </c>
      <c r="I97" s="16" t="s">
        <v>5</v>
      </c>
      <c r="J97" s="16" t="s">
        <v>617</v>
      </c>
      <c r="K97" s="18"/>
      <c r="L97" s="18" t="s">
        <v>9</v>
      </c>
      <c r="M97" s="18"/>
      <c r="N97" s="18"/>
      <c r="O97" s="18"/>
      <c r="P97" s="18"/>
      <c r="Q97" s="18"/>
      <c r="R97" s="18"/>
      <c r="S97" s="18"/>
      <c r="T97" s="18"/>
      <c r="U97" s="18"/>
    </row>
    <row r="98" customFormat="false" ht="15" hidden="false" customHeight="false" outlineLevel="0" collapsed="false">
      <c r="A98" s="19" t="s">
        <v>7</v>
      </c>
      <c r="B98" s="19" t="s">
        <v>618</v>
      </c>
      <c r="C98" s="19" t="s">
        <v>619</v>
      </c>
      <c r="D98" s="19" t="s">
        <v>114</v>
      </c>
      <c r="E98" s="19" t="s">
        <v>620</v>
      </c>
      <c r="F98" s="19" t="s">
        <v>621</v>
      </c>
      <c r="G98" s="19" t="s">
        <v>622</v>
      </c>
      <c r="H98" s="19" t="s">
        <v>96</v>
      </c>
      <c r="I98" s="19" t="s">
        <v>49</v>
      </c>
      <c r="J98" s="19" t="s">
        <v>623</v>
      </c>
      <c r="K98" s="18"/>
      <c r="L98" s="18" t="s">
        <v>9</v>
      </c>
      <c r="M98" s="18"/>
      <c r="N98" s="18"/>
      <c r="O98" s="18"/>
      <c r="P98" s="18"/>
      <c r="Q98" s="18"/>
      <c r="R98" s="18"/>
      <c r="S98" s="18"/>
      <c r="T98" s="18"/>
      <c r="U98" s="18"/>
    </row>
    <row r="99" customFormat="false" ht="15" hidden="false" customHeight="false" outlineLevel="0" collapsed="false">
      <c r="A99" s="19" t="s">
        <v>7</v>
      </c>
      <c r="B99" s="19" t="s">
        <v>624</v>
      </c>
      <c r="C99" s="19" t="s">
        <v>596</v>
      </c>
      <c r="D99" s="19" t="s">
        <v>107</v>
      </c>
      <c r="E99" s="19" t="s">
        <v>625</v>
      </c>
      <c r="F99" s="19" t="s">
        <v>315</v>
      </c>
      <c r="G99" s="19" t="s">
        <v>626</v>
      </c>
      <c r="H99" s="19" t="s">
        <v>103</v>
      </c>
      <c r="I99" s="19" t="s">
        <v>49</v>
      </c>
      <c r="J99" s="19" t="s">
        <v>627</v>
      </c>
      <c r="K99" s="18"/>
      <c r="L99" s="18" t="s">
        <v>9</v>
      </c>
      <c r="M99" s="18"/>
      <c r="N99" s="18"/>
      <c r="O99" s="18"/>
      <c r="P99" s="18"/>
      <c r="Q99" s="18"/>
      <c r="R99" s="18"/>
      <c r="S99" s="18"/>
      <c r="T99" s="18"/>
      <c r="U99" s="18"/>
    </row>
    <row r="100" customFormat="false" ht="15" hidden="false" customHeight="false" outlineLevel="0" collapsed="false">
      <c r="A100" s="19" t="s">
        <v>68</v>
      </c>
      <c r="B100" s="19" t="s">
        <v>628</v>
      </c>
      <c r="C100" s="19" t="s">
        <v>629</v>
      </c>
      <c r="D100" s="19" t="s">
        <v>114</v>
      </c>
      <c r="E100" s="19" t="s">
        <v>630</v>
      </c>
      <c r="F100" s="19" t="s">
        <v>631</v>
      </c>
      <c r="G100" s="19" t="s">
        <v>371</v>
      </c>
      <c r="H100" s="19" t="s">
        <v>103</v>
      </c>
      <c r="I100" s="19" t="s">
        <v>49</v>
      </c>
      <c r="J100" s="19" t="s">
        <v>632</v>
      </c>
      <c r="K100" s="18"/>
      <c r="L100" s="18" t="s">
        <v>9</v>
      </c>
      <c r="M100" s="18"/>
      <c r="N100" s="18"/>
      <c r="O100" s="18"/>
      <c r="P100" s="18"/>
      <c r="Q100" s="18"/>
      <c r="R100" s="18"/>
      <c r="S100" s="18"/>
      <c r="T100" s="18"/>
      <c r="U100" s="18"/>
    </row>
    <row r="101" customFormat="false" ht="22.35" hidden="false" customHeight="false" outlineLevel="0" collapsed="false">
      <c r="A101" s="16" t="s">
        <v>53</v>
      </c>
      <c r="B101" s="17" t="s">
        <v>633</v>
      </c>
      <c r="C101" s="16" t="s">
        <v>634</v>
      </c>
      <c r="D101" s="16" t="s">
        <v>635</v>
      </c>
      <c r="E101" s="16" t="s">
        <v>115</v>
      </c>
      <c r="F101" s="16" t="s">
        <v>29</v>
      </c>
      <c r="G101" s="16" t="s">
        <v>636</v>
      </c>
      <c r="H101" s="16" t="s">
        <v>103</v>
      </c>
      <c r="I101" s="16" t="s">
        <v>5</v>
      </c>
      <c r="J101" s="16" t="s">
        <v>637</v>
      </c>
      <c r="K101" s="18"/>
      <c r="L101" s="18" t="s">
        <v>9</v>
      </c>
      <c r="M101" s="18"/>
      <c r="N101" s="18"/>
      <c r="O101" s="18"/>
      <c r="P101" s="18"/>
      <c r="Q101" s="18"/>
      <c r="R101" s="18"/>
      <c r="S101" s="18"/>
      <c r="T101" s="18"/>
      <c r="U101" s="18"/>
    </row>
    <row r="102" customFormat="false" ht="15" hidden="false" customHeight="false" outlineLevel="0" collapsed="false">
      <c r="A102" s="16" t="s">
        <v>53</v>
      </c>
      <c r="B102" s="17" t="s">
        <v>638</v>
      </c>
      <c r="C102" s="16" t="s">
        <v>634</v>
      </c>
      <c r="D102" s="16" t="s">
        <v>635</v>
      </c>
      <c r="E102" s="16" t="s">
        <v>115</v>
      </c>
      <c r="F102" s="16" t="s">
        <v>29</v>
      </c>
      <c r="G102" s="16" t="s">
        <v>639</v>
      </c>
      <c r="H102" s="16" t="s">
        <v>103</v>
      </c>
      <c r="I102" s="16" t="s">
        <v>5</v>
      </c>
      <c r="J102" s="16" t="s">
        <v>640</v>
      </c>
      <c r="K102" s="18"/>
      <c r="L102" s="18" t="s">
        <v>9</v>
      </c>
      <c r="M102" s="18"/>
      <c r="N102" s="18"/>
      <c r="O102" s="18"/>
      <c r="P102" s="18"/>
      <c r="Q102" s="18"/>
      <c r="R102" s="18"/>
      <c r="S102" s="18"/>
      <c r="T102" s="18"/>
      <c r="U102" s="18"/>
    </row>
    <row r="103" customFormat="false" ht="15" hidden="false" customHeight="false" outlineLevel="0" collapsed="false">
      <c r="A103" s="19" t="s">
        <v>33</v>
      </c>
      <c r="B103" s="19" t="s">
        <v>641</v>
      </c>
      <c r="C103" s="19" t="s">
        <v>642</v>
      </c>
      <c r="D103" s="19" t="s">
        <v>107</v>
      </c>
      <c r="E103" s="19" t="s">
        <v>643</v>
      </c>
      <c r="F103" s="19" t="s">
        <v>253</v>
      </c>
      <c r="G103" s="19" t="s">
        <v>644</v>
      </c>
      <c r="H103" s="19" t="s">
        <v>103</v>
      </c>
      <c r="I103" s="19" t="s">
        <v>49</v>
      </c>
      <c r="J103" s="19" t="s">
        <v>645</v>
      </c>
      <c r="K103" s="18"/>
      <c r="L103" s="18" t="s">
        <v>9</v>
      </c>
      <c r="M103" s="18"/>
      <c r="N103" s="18"/>
      <c r="O103" s="18"/>
      <c r="P103" s="18"/>
      <c r="Q103" s="18"/>
      <c r="R103" s="18"/>
      <c r="S103" s="18"/>
      <c r="T103" s="18"/>
      <c r="U103" s="18"/>
    </row>
    <row r="104" customFormat="false" ht="15" hidden="false" customHeight="false" outlineLevel="0" collapsed="false">
      <c r="A104" s="19" t="s">
        <v>33</v>
      </c>
      <c r="B104" s="19" t="s">
        <v>646</v>
      </c>
      <c r="C104" s="19" t="s">
        <v>647</v>
      </c>
      <c r="D104" s="19" t="s">
        <v>92</v>
      </c>
      <c r="E104" s="19" t="s">
        <v>648</v>
      </c>
      <c r="F104" s="19" t="s">
        <v>224</v>
      </c>
      <c r="G104" s="19" t="s">
        <v>469</v>
      </c>
      <c r="H104" s="19" t="s">
        <v>103</v>
      </c>
      <c r="I104" s="19" t="s">
        <v>49</v>
      </c>
      <c r="J104" s="19" t="s">
        <v>649</v>
      </c>
      <c r="K104" s="18"/>
      <c r="L104" s="18" t="s">
        <v>9</v>
      </c>
      <c r="M104" s="18"/>
      <c r="N104" s="18"/>
      <c r="O104" s="18"/>
      <c r="P104" s="18"/>
      <c r="Q104" s="18"/>
      <c r="R104" s="18"/>
      <c r="S104" s="18"/>
      <c r="T104" s="18"/>
      <c r="U104" s="18"/>
    </row>
    <row r="105" customFormat="false" ht="15" hidden="false" customHeight="false" outlineLevel="0" collapsed="false">
      <c r="A105" s="19" t="s">
        <v>33</v>
      </c>
      <c r="B105" s="19" t="s">
        <v>650</v>
      </c>
      <c r="C105" s="19" t="s">
        <v>647</v>
      </c>
      <c r="D105" s="19" t="s">
        <v>92</v>
      </c>
      <c r="E105" s="19" t="s">
        <v>651</v>
      </c>
      <c r="F105" s="19" t="s">
        <v>652</v>
      </c>
      <c r="G105" s="19" t="s">
        <v>653</v>
      </c>
      <c r="H105" s="19" t="s">
        <v>103</v>
      </c>
      <c r="I105" s="19" t="s">
        <v>49</v>
      </c>
      <c r="J105" s="19" t="s">
        <v>654</v>
      </c>
      <c r="K105" s="18"/>
      <c r="L105" s="18" t="s">
        <v>9</v>
      </c>
      <c r="M105" s="18"/>
      <c r="N105" s="18"/>
      <c r="O105" s="18"/>
      <c r="P105" s="18"/>
      <c r="Q105" s="18"/>
      <c r="R105" s="18"/>
      <c r="S105" s="18"/>
      <c r="T105" s="18"/>
      <c r="U105" s="18"/>
    </row>
    <row r="106" customFormat="false" ht="15" hidden="false" customHeight="false" outlineLevel="0" collapsed="false">
      <c r="A106" s="16" t="s">
        <v>33</v>
      </c>
      <c r="B106" s="17" t="s">
        <v>655</v>
      </c>
      <c r="C106" s="16" t="s">
        <v>647</v>
      </c>
      <c r="D106" s="16" t="s">
        <v>132</v>
      </c>
      <c r="E106" s="16" t="s">
        <v>656</v>
      </c>
      <c r="F106" s="16" t="s">
        <v>332</v>
      </c>
      <c r="G106" s="16" t="s">
        <v>140</v>
      </c>
      <c r="H106" s="16" t="s">
        <v>103</v>
      </c>
      <c r="I106" s="16" t="s">
        <v>5</v>
      </c>
      <c r="J106" s="16" t="s">
        <v>657</v>
      </c>
      <c r="K106" s="18"/>
      <c r="L106" s="18" t="s">
        <v>9</v>
      </c>
      <c r="M106" s="18"/>
      <c r="N106" s="18"/>
      <c r="O106" s="18"/>
      <c r="P106" s="18"/>
      <c r="Q106" s="18"/>
      <c r="R106" s="18"/>
      <c r="S106" s="18"/>
      <c r="T106" s="18"/>
      <c r="U106" s="18"/>
    </row>
    <row r="107" customFormat="false" ht="22.35" hidden="false" customHeight="false" outlineLevel="0" collapsed="false">
      <c r="A107" s="19" t="s">
        <v>14</v>
      </c>
      <c r="B107" s="19" t="s">
        <v>658</v>
      </c>
      <c r="C107" s="19" t="s">
        <v>659</v>
      </c>
      <c r="D107" s="19" t="s">
        <v>92</v>
      </c>
      <c r="E107" s="19" t="s">
        <v>660</v>
      </c>
      <c r="F107" s="19" t="s">
        <v>661</v>
      </c>
      <c r="G107" s="19" t="s">
        <v>662</v>
      </c>
      <c r="H107" s="19" t="s">
        <v>154</v>
      </c>
      <c r="I107" s="19" t="s">
        <v>51</v>
      </c>
      <c r="J107" s="19" t="s">
        <v>663</v>
      </c>
      <c r="K107" s="18"/>
      <c r="L107" s="18" t="s">
        <v>9</v>
      </c>
      <c r="M107" s="18"/>
      <c r="N107" s="18"/>
      <c r="O107" s="18"/>
      <c r="P107" s="18"/>
      <c r="Q107" s="18"/>
      <c r="R107" s="18"/>
      <c r="S107" s="18"/>
      <c r="T107" s="18"/>
      <c r="U107" s="18"/>
    </row>
    <row r="108" customFormat="false" ht="15" hidden="false" customHeight="false" outlineLevel="0" collapsed="false">
      <c r="A108" s="19" t="s">
        <v>14</v>
      </c>
      <c r="B108" s="19" t="s">
        <v>664</v>
      </c>
      <c r="C108" s="19" t="s">
        <v>665</v>
      </c>
      <c r="D108" s="19" t="s">
        <v>666</v>
      </c>
      <c r="E108" s="19" t="s">
        <v>667</v>
      </c>
      <c r="F108" s="19" t="s">
        <v>668</v>
      </c>
      <c r="G108" s="19" t="s">
        <v>669</v>
      </c>
      <c r="H108" s="19" t="s">
        <v>103</v>
      </c>
      <c r="I108" s="19" t="s">
        <v>51</v>
      </c>
      <c r="J108" s="19" t="s">
        <v>670</v>
      </c>
      <c r="K108" s="18"/>
      <c r="L108" s="18" t="s">
        <v>9</v>
      </c>
      <c r="M108" s="18"/>
      <c r="N108" s="18"/>
      <c r="O108" s="18"/>
      <c r="P108" s="18"/>
      <c r="Q108" s="18"/>
      <c r="R108" s="18"/>
      <c r="S108" s="18"/>
      <c r="T108" s="18"/>
      <c r="U108" s="18"/>
    </row>
    <row r="109" customFormat="false" ht="15" hidden="false" customHeight="false" outlineLevel="0" collapsed="false">
      <c r="A109" s="19" t="s">
        <v>14</v>
      </c>
      <c r="B109" s="19" t="s">
        <v>671</v>
      </c>
      <c r="C109" s="19" t="s">
        <v>659</v>
      </c>
      <c r="D109" s="19" t="s">
        <v>114</v>
      </c>
      <c r="E109" s="19" t="s">
        <v>672</v>
      </c>
      <c r="F109" s="19" t="s">
        <v>145</v>
      </c>
      <c r="G109" s="19" t="s">
        <v>344</v>
      </c>
      <c r="H109" s="19" t="s">
        <v>103</v>
      </c>
      <c r="I109" s="19" t="s">
        <v>49</v>
      </c>
      <c r="J109" s="19" t="s">
        <v>673</v>
      </c>
      <c r="K109" s="18"/>
      <c r="L109" s="18" t="s">
        <v>9</v>
      </c>
      <c r="M109" s="18"/>
      <c r="N109" s="18"/>
      <c r="O109" s="18"/>
      <c r="P109" s="18"/>
      <c r="Q109" s="18"/>
      <c r="R109" s="18"/>
      <c r="S109" s="18"/>
      <c r="T109" s="18"/>
      <c r="U109" s="18"/>
    </row>
    <row r="110" customFormat="false" ht="15" hidden="false" customHeight="false" outlineLevel="0" collapsed="false">
      <c r="A110" s="19" t="s">
        <v>14</v>
      </c>
      <c r="B110" s="19" t="s">
        <v>674</v>
      </c>
      <c r="C110" s="19" t="s">
        <v>659</v>
      </c>
      <c r="D110" s="19" t="s">
        <v>92</v>
      </c>
      <c r="E110" s="19" t="s">
        <v>675</v>
      </c>
      <c r="F110" s="19" t="s">
        <v>253</v>
      </c>
      <c r="G110" s="19" t="s">
        <v>254</v>
      </c>
      <c r="H110" s="19" t="s">
        <v>103</v>
      </c>
      <c r="I110" s="19" t="s">
        <v>49</v>
      </c>
      <c r="J110" s="19" t="s">
        <v>676</v>
      </c>
      <c r="K110" s="18"/>
      <c r="L110" s="18" t="s">
        <v>9</v>
      </c>
      <c r="M110" s="18"/>
      <c r="N110" s="18"/>
      <c r="O110" s="18"/>
      <c r="P110" s="18"/>
      <c r="Q110" s="18"/>
      <c r="R110" s="18"/>
      <c r="S110" s="18"/>
      <c r="T110" s="18"/>
      <c r="U110" s="18"/>
    </row>
    <row r="111" customFormat="false" ht="22.35" hidden="false" customHeight="false" outlineLevel="0" collapsed="false">
      <c r="A111" s="19" t="s">
        <v>14</v>
      </c>
      <c r="B111" s="19" t="s">
        <v>677</v>
      </c>
      <c r="C111" s="19" t="s">
        <v>659</v>
      </c>
      <c r="D111" s="19" t="s">
        <v>107</v>
      </c>
      <c r="E111" s="19" t="s">
        <v>678</v>
      </c>
      <c r="F111" s="19" t="s">
        <v>679</v>
      </c>
      <c r="G111" s="19" t="s">
        <v>680</v>
      </c>
      <c r="H111" s="19" t="s">
        <v>103</v>
      </c>
      <c r="I111" s="19" t="s">
        <v>51</v>
      </c>
      <c r="J111" s="19" t="s">
        <v>681</v>
      </c>
      <c r="K111" s="18"/>
      <c r="L111" s="18" t="s">
        <v>9</v>
      </c>
      <c r="M111" s="18"/>
      <c r="N111" s="18"/>
      <c r="O111" s="18"/>
      <c r="P111" s="18"/>
      <c r="Q111" s="18"/>
      <c r="R111" s="18"/>
      <c r="S111" s="18"/>
      <c r="T111" s="18"/>
      <c r="U111" s="18"/>
    </row>
    <row r="112" customFormat="false" ht="15" hidden="false" customHeight="false" outlineLevel="0" collapsed="false">
      <c r="A112" s="19" t="s">
        <v>14</v>
      </c>
      <c r="B112" s="19" t="s">
        <v>682</v>
      </c>
      <c r="C112" s="19" t="s">
        <v>683</v>
      </c>
      <c r="D112" s="19" t="s">
        <v>114</v>
      </c>
      <c r="E112" s="19" t="s">
        <v>684</v>
      </c>
      <c r="F112" s="19" t="s">
        <v>685</v>
      </c>
      <c r="G112" s="19" t="s">
        <v>686</v>
      </c>
      <c r="H112" s="19" t="s">
        <v>103</v>
      </c>
      <c r="I112" s="19" t="s">
        <v>49</v>
      </c>
      <c r="J112" s="19" t="s">
        <v>687</v>
      </c>
      <c r="K112" s="18"/>
      <c r="L112" s="18" t="s">
        <v>9</v>
      </c>
      <c r="M112" s="18"/>
      <c r="N112" s="18"/>
      <c r="O112" s="18"/>
      <c r="P112" s="18"/>
      <c r="Q112" s="18"/>
      <c r="R112" s="18"/>
      <c r="S112" s="18"/>
      <c r="T112" s="18"/>
      <c r="U112" s="18"/>
    </row>
    <row r="113" customFormat="false" ht="22.35" hidden="false" customHeight="false" outlineLevel="0" collapsed="false">
      <c r="A113" s="16" t="s">
        <v>14</v>
      </c>
      <c r="B113" s="17" t="s">
        <v>688</v>
      </c>
      <c r="C113" s="16" t="s">
        <v>689</v>
      </c>
      <c r="D113" s="16" t="s">
        <v>92</v>
      </c>
      <c r="E113" s="16" t="s">
        <v>690</v>
      </c>
      <c r="F113" s="16" t="s">
        <v>691</v>
      </c>
      <c r="G113" s="16" t="s">
        <v>692</v>
      </c>
      <c r="H113" s="16" t="s">
        <v>103</v>
      </c>
      <c r="I113" s="16" t="s">
        <v>5</v>
      </c>
      <c r="J113" s="16" t="s">
        <v>693</v>
      </c>
      <c r="K113" s="18"/>
      <c r="L113" s="18" t="s">
        <v>9</v>
      </c>
      <c r="M113" s="18"/>
      <c r="N113" s="18"/>
      <c r="O113" s="18"/>
      <c r="P113" s="18"/>
      <c r="Q113" s="18"/>
      <c r="R113" s="18"/>
      <c r="S113" s="18"/>
      <c r="T113" s="18"/>
      <c r="U113" s="18"/>
    </row>
    <row r="114" customFormat="false" ht="15" hidden="false" customHeight="false" outlineLevel="0" collapsed="false">
      <c r="A114" s="19" t="s">
        <v>14</v>
      </c>
      <c r="B114" s="19" t="s">
        <v>694</v>
      </c>
      <c r="C114" s="19" t="s">
        <v>695</v>
      </c>
      <c r="D114" s="19" t="s">
        <v>92</v>
      </c>
      <c r="E114" s="19" t="s">
        <v>696</v>
      </c>
      <c r="F114" s="19" t="s">
        <v>253</v>
      </c>
      <c r="G114" s="19" t="s">
        <v>697</v>
      </c>
      <c r="H114" s="19" t="s">
        <v>103</v>
      </c>
      <c r="I114" s="19" t="s">
        <v>49</v>
      </c>
      <c r="J114" s="19" t="s">
        <v>698</v>
      </c>
      <c r="K114" s="18"/>
      <c r="L114" s="18" t="s">
        <v>9</v>
      </c>
      <c r="M114" s="18"/>
      <c r="N114" s="18"/>
      <c r="O114" s="18"/>
      <c r="P114" s="18"/>
      <c r="Q114" s="18"/>
      <c r="R114" s="18"/>
      <c r="S114" s="18"/>
      <c r="T114" s="18"/>
      <c r="U114" s="18"/>
    </row>
    <row r="115" customFormat="false" ht="15" hidden="false" customHeight="false" outlineLevel="0" collapsed="false">
      <c r="A115" s="19" t="s">
        <v>14</v>
      </c>
      <c r="B115" s="19" t="s">
        <v>699</v>
      </c>
      <c r="C115" s="19" t="s">
        <v>700</v>
      </c>
      <c r="D115" s="19" t="s">
        <v>701</v>
      </c>
      <c r="E115" s="19" t="s">
        <v>702</v>
      </c>
      <c r="F115" s="19" t="s">
        <v>703</v>
      </c>
      <c r="G115" s="19" t="s">
        <v>499</v>
      </c>
      <c r="H115" s="19" t="s">
        <v>96</v>
      </c>
      <c r="I115" s="19" t="s">
        <v>51</v>
      </c>
      <c r="J115" s="19" t="s">
        <v>704</v>
      </c>
      <c r="K115" s="18"/>
      <c r="L115" s="18" t="s">
        <v>9</v>
      </c>
      <c r="M115" s="18"/>
      <c r="N115" s="18"/>
      <c r="O115" s="18"/>
      <c r="P115" s="18"/>
      <c r="Q115" s="18"/>
      <c r="R115" s="18"/>
      <c r="S115" s="18"/>
      <c r="T115" s="18"/>
      <c r="U115" s="18"/>
    </row>
    <row r="116" customFormat="false" ht="15" hidden="false" customHeight="false" outlineLevel="0" collapsed="false">
      <c r="A116" s="16" t="s">
        <v>29</v>
      </c>
      <c r="B116" s="17" t="s">
        <v>705</v>
      </c>
      <c r="C116" s="16" t="s">
        <v>706</v>
      </c>
      <c r="D116" s="16" t="s">
        <v>92</v>
      </c>
      <c r="E116" s="16" t="s">
        <v>707</v>
      </c>
      <c r="F116" s="16" t="s">
        <v>708</v>
      </c>
      <c r="G116" s="16" t="s">
        <v>709</v>
      </c>
      <c r="H116" s="16" t="s">
        <v>103</v>
      </c>
      <c r="I116" s="16" t="s">
        <v>5</v>
      </c>
      <c r="J116" s="16" t="s">
        <v>710</v>
      </c>
      <c r="K116" s="18"/>
      <c r="L116" s="18" t="s">
        <v>9</v>
      </c>
      <c r="M116" s="18"/>
      <c r="N116" s="18"/>
      <c r="O116" s="18"/>
      <c r="P116" s="18"/>
      <c r="Q116" s="18"/>
      <c r="R116" s="18"/>
      <c r="S116" s="18"/>
      <c r="T116" s="18"/>
      <c r="U116" s="18"/>
    </row>
    <row r="117" customFormat="false" ht="15" hidden="false" customHeight="false" outlineLevel="0" collapsed="false">
      <c r="A117" s="16" t="s">
        <v>29</v>
      </c>
      <c r="B117" s="17" t="s">
        <v>711</v>
      </c>
      <c r="C117" s="16" t="s">
        <v>712</v>
      </c>
      <c r="D117" s="16" t="s">
        <v>92</v>
      </c>
      <c r="E117" s="16" t="s">
        <v>713</v>
      </c>
      <c r="F117" s="16" t="s">
        <v>714</v>
      </c>
      <c r="G117" s="16" t="s">
        <v>715</v>
      </c>
      <c r="H117" s="16" t="s">
        <v>154</v>
      </c>
      <c r="I117" s="16" t="s">
        <v>5</v>
      </c>
      <c r="J117" s="16" t="s">
        <v>716</v>
      </c>
      <c r="K117" s="18"/>
      <c r="L117" s="18" t="s">
        <v>9</v>
      </c>
      <c r="M117" s="18"/>
      <c r="N117" s="18"/>
      <c r="O117" s="18"/>
      <c r="P117" s="18"/>
      <c r="Q117" s="18"/>
      <c r="R117" s="18"/>
      <c r="S117" s="18"/>
      <c r="T117" s="18"/>
      <c r="U117" s="18"/>
    </row>
    <row r="118" customFormat="false" ht="22.35" hidden="false" customHeight="false" outlineLevel="0" collapsed="false">
      <c r="A118" s="16" t="s">
        <v>29</v>
      </c>
      <c r="B118" s="17" t="s">
        <v>717</v>
      </c>
      <c r="C118" s="16" t="s">
        <v>718</v>
      </c>
      <c r="D118" s="16" t="s">
        <v>92</v>
      </c>
      <c r="E118" s="16" t="s">
        <v>719</v>
      </c>
      <c r="F118" s="16" t="s">
        <v>720</v>
      </c>
      <c r="G118" s="16" t="s">
        <v>721</v>
      </c>
      <c r="H118" s="16" t="s">
        <v>96</v>
      </c>
      <c r="I118" s="16" t="s">
        <v>5</v>
      </c>
      <c r="J118" s="16" t="s">
        <v>722</v>
      </c>
      <c r="K118" s="18"/>
      <c r="L118" s="18" t="s">
        <v>9</v>
      </c>
      <c r="M118" s="18"/>
      <c r="N118" s="18"/>
      <c r="O118" s="18"/>
      <c r="P118" s="18"/>
      <c r="Q118" s="18"/>
      <c r="R118" s="18"/>
      <c r="S118" s="18"/>
      <c r="T118" s="18"/>
      <c r="U118" s="18"/>
    </row>
    <row r="119" customFormat="false" ht="15" hidden="false" customHeight="false" outlineLevel="0" collapsed="false">
      <c r="A119" s="19" t="s">
        <v>29</v>
      </c>
      <c r="B119" s="19" t="s">
        <v>723</v>
      </c>
      <c r="C119" s="19" t="s">
        <v>724</v>
      </c>
      <c r="D119" s="19" t="s">
        <v>107</v>
      </c>
      <c r="E119" s="19" t="s">
        <v>725</v>
      </c>
      <c r="F119" s="19" t="s">
        <v>726</v>
      </c>
      <c r="G119" s="19" t="s">
        <v>727</v>
      </c>
      <c r="H119" s="19" t="s">
        <v>103</v>
      </c>
      <c r="I119" s="19" t="s">
        <v>51</v>
      </c>
      <c r="J119" s="19" t="s">
        <v>728</v>
      </c>
      <c r="K119" s="18"/>
      <c r="L119" s="18" t="s">
        <v>9</v>
      </c>
      <c r="M119" s="18"/>
      <c r="N119" s="18"/>
      <c r="O119" s="18"/>
      <c r="P119" s="18"/>
      <c r="Q119" s="18"/>
      <c r="R119" s="18"/>
      <c r="S119" s="18"/>
      <c r="T119" s="18"/>
      <c r="U119" s="18"/>
    </row>
    <row r="120" customFormat="false" ht="15" hidden="false" customHeight="false" outlineLevel="0" collapsed="false">
      <c r="A120" s="19" t="s">
        <v>29</v>
      </c>
      <c r="B120" s="19" t="s">
        <v>729</v>
      </c>
      <c r="C120" s="19" t="s">
        <v>730</v>
      </c>
      <c r="D120" s="19" t="s">
        <v>114</v>
      </c>
      <c r="E120" s="19" t="s">
        <v>731</v>
      </c>
      <c r="F120" s="19" t="s">
        <v>732</v>
      </c>
      <c r="G120" s="19" t="s">
        <v>733</v>
      </c>
      <c r="H120" s="19" t="s">
        <v>103</v>
      </c>
      <c r="I120" s="19" t="s">
        <v>49</v>
      </c>
      <c r="J120" s="19" t="s">
        <v>734</v>
      </c>
      <c r="K120" s="18"/>
      <c r="L120" s="18" t="s">
        <v>9</v>
      </c>
      <c r="M120" s="18"/>
      <c r="N120" s="18"/>
      <c r="O120" s="18"/>
      <c r="P120" s="18"/>
      <c r="Q120" s="18"/>
      <c r="R120" s="18"/>
      <c r="S120" s="18"/>
      <c r="T120" s="18"/>
      <c r="U120" s="18"/>
    </row>
    <row r="121" customFormat="false" ht="15" hidden="false" customHeight="false" outlineLevel="0" collapsed="false">
      <c r="A121" s="16" t="s">
        <v>29</v>
      </c>
      <c r="B121" s="17" t="s">
        <v>735</v>
      </c>
      <c r="C121" s="16" t="s">
        <v>736</v>
      </c>
      <c r="D121" s="16" t="s">
        <v>92</v>
      </c>
      <c r="E121" s="16" t="s">
        <v>737</v>
      </c>
      <c r="F121" s="16" t="s">
        <v>738</v>
      </c>
      <c r="G121" s="16" t="s">
        <v>102</v>
      </c>
      <c r="H121" s="16" t="s">
        <v>103</v>
      </c>
      <c r="I121" s="16" t="s">
        <v>5</v>
      </c>
      <c r="J121" s="16" t="s">
        <v>739</v>
      </c>
      <c r="K121" s="18"/>
      <c r="L121" s="18" t="s">
        <v>9</v>
      </c>
      <c r="M121" s="18"/>
      <c r="N121" s="18"/>
      <c r="O121" s="18"/>
      <c r="P121" s="18"/>
      <c r="Q121" s="18"/>
      <c r="R121" s="18"/>
      <c r="S121" s="18"/>
      <c r="T121" s="18"/>
      <c r="U121" s="18"/>
    </row>
    <row r="122" customFormat="false" ht="22.35" hidden="false" customHeight="false" outlineLevel="0" collapsed="false">
      <c r="A122" s="19" t="s">
        <v>45</v>
      </c>
      <c r="B122" s="19" t="s">
        <v>740</v>
      </c>
      <c r="C122" s="19" t="s">
        <v>741</v>
      </c>
      <c r="D122" s="19" t="s">
        <v>742</v>
      </c>
      <c r="E122" s="19" t="s">
        <v>743</v>
      </c>
      <c r="F122" s="19" t="s">
        <v>744</v>
      </c>
      <c r="G122" s="19" t="s">
        <v>745</v>
      </c>
      <c r="H122" s="19" t="s">
        <v>103</v>
      </c>
      <c r="I122" s="19" t="s">
        <v>49</v>
      </c>
      <c r="J122" s="19" t="s">
        <v>746</v>
      </c>
      <c r="K122" s="18"/>
      <c r="L122" s="18" t="s">
        <v>9</v>
      </c>
      <c r="M122" s="18"/>
      <c r="N122" s="18"/>
      <c r="O122" s="18"/>
      <c r="P122" s="18"/>
      <c r="Q122" s="18"/>
      <c r="R122" s="18"/>
      <c r="S122" s="18"/>
      <c r="T122" s="18"/>
      <c r="U122" s="18"/>
    </row>
    <row r="123" customFormat="false" ht="15" hidden="false" customHeight="false" outlineLevel="0" collapsed="false">
      <c r="A123" s="16" t="s">
        <v>45</v>
      </c>
      <c r="B123" s="17" t="s">
        <v>747</v>
      </c>
      <c r="C123" s="16" t="s">
        <v>748</v>
      </c>
      <c r="D123" s="16" t="s">
        <v>749</v>
      </c>
      <c r="E123" s="16" t="s">
        <v>750</v>
      </c>
      <c r="F123" s="16" t="s">
        <v>751</v>
      </c>
      <c r="G123" s="16" t="s">
        <v>752</v>
      </c>
      <c r="H123" s="16" t="s">
        <v>103</v>
      </c>
      <c r="I123" s="16" t="s">
        <v>5</v>
      </c>
      <c r="J123" s="16" t="s">
        <v>753</v>
      </c>
      <c r="K123" s="18"/>
      <c r="L123" s="18" t="s">
        <v>9</v>
      </c>
      <c r="M123" s="18"/>
      <c r="N123" s="18"/>
      <c r="O123" s="18"/>
      <c r="P123" s="18"/>
      <c r="Q123" s="18"/>
      <c r="R123" s="18"/>
      <c r="S123" s="18"/>
      <c r="T123" s="18"/>
      <c r="U123" s="18"/>
    </row>
    <row r="124" customFormat="false" ht="22.35" hidden="false" customHeight="false" outlineLevel="0" collapsed="false">
      <c r="A124" s="19" t="s">
        <v>45</v>
      </c>
      <c r="B124" s="19" t="s">
        <v>754</v>
      </c>
      <c r="C124" s="19" t="s">
        <v>748</v>
      </c>
      <c r="D124" s="19" t="s">
        <v>755</v>
      </c>
      <c r="E124" s="19" t="s">
        <v>756</v>
      </c>
      <c r="F124" s="19" t="s">
        <v>757</v>
      </c>
      <c r="G124" s="19" t="s">
        <v>758</v>
      </c>
      <c r="H124" s="19" t="s">
        <v>154</v>
      </c>
      <c r="I124" s="19" t="s">
        <v>51</v>
      </c>
      <c r="J124" s="19" t="s">
        <v>759</v>
      </c>
      <c r="K124" s="18"/>
      <c r="L124" s="18" t="s">
        <v>9</v>
      </c>
      <c r="M124" s="18"/>
      <c r="N124" s="18"/>
      <c r="O124" s="18"/>
      <c r="P124" s="18"/>
      <c r="Q124" s="18"/>
      <c r="R124" s="18"/>
      <c r="S124" s="18"/>
      <c r="T124" s="18"/>
      <c r="U124" s="18"/>
    </row>
    <row r="125" customFormat="false" ht="15" hidden="false" customHeight="false" outlineLevel="0" collapsed="false">
      <c r="A125" s="16" t="s">
        <v>54</v>
      </c>
      <c r="B125" s="17" t="s">
        <v>760</v>
      </c>
      <c r="C125" s="16" t="s">
        <v>761</v>
      </c>
      <c r="D125" s="16" t="s">
        <v>132</v>
      </c>
      <c r="E125" s="16" t="s">
        <v>762</v>
      </c>
      <c r="F125" s="16" t="s">
        <v>763</v>
      </c>
      <c r="G125" s="16" t="s">
        <v>764</v>
      </c>
      <c r="H125" s="16" t="s">
        <v>103</v>
      </c>
      <c r="I125" s="16" t="s">
        <v>5</v>
      </c>
      <c r="J125" s="16" t="s">
        <v>765</v>
      </c>
      <c r="K125" s="18"/>
      <c r="L125" s="18" t="s">
        <v>9</v>
      </c>
      <c r="M125" s="18"/>
      <c r="N125" s="18"/>
      <c r="O125" s="18"/>
      <c r="P125" s="18"/>
      <c r="Q125" s="18"/>
      <c r="R125" s="18"/>
      <c r="S125" s="18"/>
      <c r="T125" s="18"/>
      <c r="U125" s="18"/>
    </row>
    <row r="126" customFormat="false" ht="15" hidden="false" customHeight="false" outlineLevel="0" collapsed="false">
      <c r="A126" s="19" t="s">
        <v>54</v>
      </c>
      <c r="B126" s="19" t="s">
        <v>766</v>
      </c>
      <c r="C126" s="19" t="s">
        <v>761</v>
      </c>
      <c r="D126" s="19" t="s">
        <v>92</v>
      </c>
      <c r="E126" s="19" t="s">
        <v>767</v>
      </c>
      <c r="F126" s="19" t="s">
        <v>768</v>
      </c>
      <c r="G126" s="19" t="s">
        <v>769</v>
      </c>
      <c r="H126" s="19" t="s">
        <v>103</v>
      </c>
      <c r="I126" s="19" t="s">
        <v>49</v>
      </c>
      <c r="J126" s="19" t="s">
        <v>770</v>
      </c>
      <c r="K126" s="18"/>
      <c r="L126" s="18" t="s">
        <v>9</v>
      </c>
      <c r="M126" s="18"/>
      <c r="N126" s="18"/>
      <c r="O126" s="18"/>
      <c r="P126" s="18"/>
      <c r="Q126" s="18"/>
      <c r="R126" s="18"/>
      <c r="S126" s="18"/>
      <c r="T126" s="18"/>
      <c r="U126" s="18"/>
    </row>
    <row r="127" customFormat="false" ht="15" hidden="false" customHeight="false" outlineLevel="0" collapsed="false">
      <c r="A127" s="19" t="s">
        <v>69</v>
      </c>
      <c r="B127" s="19" t="s">
        <v>771</v>
      </c>
      <c r="C127" s="19" t="s">
        <v>629</v>
      </c>
      <c r="D127" s="19" t="s">
        <v>114</v>
      </c>
      <c r="E127" s="19" t="s">
        <v>115</v>
      </c>
      <c r="F127" s="19" t="s">
        <v>772</v>
      </c>
      <c r="G127" s="19" t="s">
        <v>773</v>
      </c>
      <c r="H127" s="19" t="s">
        <v>96</v>
      </c>
      <c r="I127" s="19" t="s">
        <v>49</v>
      </c>
      <c r="J127" s="19" t="s">
        <v>774</v>
      </c>
      <c r="K127" s="18"/>
      <c r="L127" s="18" t="s">
        <v>9</v>
      </c>
      <c r="M127" s="18"/>
      <c r="N127" s="18"/>
      <c r="O127" s="18"/>
      <c r="P127" s="18"/>
      <c r="Q127" s="18"/>
      <c r="R127" s="18"/>
      <c r="S127" s="18"/>
      <c r="T127" s="18"/>
      <c r="U127" s="18"/>
    </row>
  </sheetData>
  <autoFilter ref="A1:U127"/>
  <conditionalFormatting sqref="L2:L1000">
    <cfRule type="cellIs" priority="2" operator="equal" aboveAverage="0" equalAverage="0" bottom="0" percent="0" rank="0" text="" dxfId="6">
      <formula>"Scheduled"</formula>
    </cfRule>
    <cfRule type="cellIs" priority="3" operator="equal" aboveAverage="0" equalAverage="0" bottom="0" percent="0" rank="0" text="" dxfId="7">
      <formula>"Presented"</formula>
    </cfRule>
    <cfRule type="cellIs" priority="4" operator="equal" aboveAverage="0" equalAverage="0" bottom="0" percent="0" rank="0" text="" dxfId="8">
      <formula>"Declined"</formula>
    </cfRule>
  </conditionalFormatting>
  <dataValidations count="2">
    <dataValidation allowBlank="true" errorStyle="stop" operator="between" showDropDown="false" showErrorMessage="false" showInputMessage="false" sqref="L2:L1000" type="list">
      <formula1>"Not Started,Outreach Sent,In Scheduling,Scheduled,Presented,Follow-Up,Declined,Dormant"</formula1>
      <formula2>0</formula2>
    </dataValidation>
    <dataValidation allowBlank="true" errorStyle="stop" operator="between" showDropDown="false" showErrorMessage="false" showInputMessage="false" sqref="M2:M1000" type="list">
      <formula1>"FED,COR,Either"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20"/>
  </cols>
  <sheetData>
    <row r="2" customFormat="false" ht="17.35" hidden="false" customHeight="false" outlineLevel="0" collapsed="false">
      <c r="B2" s="20" t="s">
        <v>775</v>
      </c>
    </row>
    <row r="3" customFormat="false" ht="39.75" hidden="false" customHeight="true" outlineLevel="0" collapsed="false">
      <c r="B3" s="21" t="s">
        <v>776</v>
      </c>
    </row>
    <row r="5" customFormat="false" ht="15" hidden="false" customHeight="false" outlineLevel="0" collapsed="false">
      <c r="B5" s="22" t="s">
        <v>777</v>
      </c>
    </row>
    <row r="6" customFormat="false" ht="39.75" hidden="false" customHeight="true" outlineLevel="0" collapsed="false">
      <c r="B6" s="23" t="s">
        <v>778</v>
      </c>
    </row>
    <row r="7" customFormat="false" ht="23.85" hidden="false" customHeight="false" outlineLevel="0" collapsed="false">
      <c r="B7" s="23" t="s">
        <v>779</v>
      </c>
    </row>
    <row r="8" customFormat="false" ht="23.85" hidden="false" customHeight="false" outlineLevel="0" collapsed="false">
      <c r="B8" s="23" t="s">
        <v>780</v>
      </c>
    </row>
    <row r="10" customFormat="false" ht="15" hidden="false" customHeight="false" outlineLevel="0" collapsed="false">
      <c r="B10" s="22" t="s">
        <v>781</v>
      </c>
    </row>
    <row r="11" customFormat="false" ht="23.85" hidden="false" customHeight="false" outlineLevel="0" collapsed="false">
      <c r="B11" s="23" t="s">
        <v>782</v>
      </c>
    </row>
    <row r="12" customFormat="false" ht="39.75" hidden="false" customHeight="true" outlineLevel="0" collapsed="false">
      <c r="B12" s="23" t="s">
        <v>783</v>
      </c>
    </row>
    <row r="13" customFormat="false" ht="15" hidden="false" customHeight="false" outlineLevel="0" collapsed="false">
      <c r="B13" s="23" t="s">
        <v>784</v>
      </c>
    </row>
    <row r="14" customFormat="false" ht="39.75" hidden="false" customHeight="true" outlineLevel="0" collapsed="false">
      <c r="B14" s="23" t="s">
        <v>785</v>
      </c>
    </row>
    <row r="16" customFormat="false" ht="15" hidden="false" customHeight="false" outlineLevel="0" collapsed="false">
      <c r="B16" s="22" t="s">
        <v>786</v>
      </c>
    </row>
    <row r="17" customFormat="false" ht="15" hidden="false" customHeight="false" outlineLevel="0" collapsed="false">
      <c r="B17" s="23" t="s">
        <v>787</v>
      </c>
    </row>
    <row r="18" customFormat="false" ht="23.85" hidden="false" customHeight="false" outlineLevel="0" collapsed="false">
      <c r="B18" s="23" t="s">
        <v>788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2026-07-30T13:38:35Z</dcterms:created>
  <dc:creator>openpyxl</dc:creator>
  <dc:description/>
  <dc:language>en-US</dc:language>
  <cp:lastModifiedBy/>
  <dcterms:modified xsi:type="dcterms:W3CDTF">2026-07-30T13:38:40Z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